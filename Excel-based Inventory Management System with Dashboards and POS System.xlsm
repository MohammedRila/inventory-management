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4355" windowHeight="4695" activeTab="5"/>
  </bookViews>
  <sheets>
    <sheet name="DASHBOARD" sheetId="1" r:id="rId1"/>
    <sheet name="CUSTOMER" sheetId="9" r:id="rId2"/>
    <sheet name="STOCK" sheetId="8" r:id="rId3"/>
    <sheet name="sales recipt" sheetId="10" r:id="rId4"/>
    <sheet name="POS" sheetId="11" r:id="rId5"/>
    <sheet name="rcpt" sheetId="15" r:id="rId6"/>
  </sheets>
  <definedNames>
    <definedName name="ITEM_ID">OFFSET('sales recipt'!$I$5,1,,COUNTA('sales recipt'!$I$5:$I$10003)- 1,1)</definedName>
    <definedName name="item_name">OFFSET('sales recipt'!$J$5,1,,COUNTA('sales recipt'!$J$5:$J$10003)- 1,1)</definedName>
    <definedName name="RecNumb">OFFSET(STOCK!$D$19,1,,COUNTA(STOCK!$D$19:$D$9999)-1,1)</definedName>
  </definedNames>
  <calcPr calcId="145621" concurrentCalc="0"/>
</workbook>
</file>

<file path=xl/calcChain.xml><?xml version="1.0" encoding="utf-8"?>
<calcChain xmlns="http://schemas.openxmlformats.org/spreadsheetml/2006/main">
  <c r="I14" i="15" l="1"/>
  <c r="I15" i="15"/>
  <c r="I16" i="15"/>
  <c r="I12" i="15"/>
  <c r="I13" i="15"/>
  <c r="I17" i="15"/>
  <c r="K14" i="15"/>
  <c r="I7" i="15"/>
  <c r="I8" i="15"/>
  <c r="I9" i="15"/>
  <c r="I10" i="15"/>
  <c r="I11" i="15"/>
  <c r="M4" i="11"/>
  <c r="M6" i="11"/>
  <c r="M8" i="11"/>
  <c r="K17" i="15"/>
  <c r="K15" i="15"/>
  <c r="K13" i="15"/>
  <c r="AL23" i="9"/>
  <c r="AL15" i="9"/>
  <c r="AL16" i="9"/>
  <c r="AL17" i="9"/>
  <c r="AL18" i="9"/>
  <c r="AL19" i="9"/>
  <c r="AL20" i="9"/>
  <c r="AL21" i="9"/>
  <c r="AL22" i="9"/>
  <c r="AL14" i="9"/>
  <c r="P21" i="8"/>
  <c r="I21" i="8"/>
  <c r="W21" i="8"/>
  <c r="P22" i="8"/>
  <c r="I22" i="8"/>
  <c r="W22" i="8"/>
  <c r="P23" i="8"/>
  <c r="I23" i="8"/>
  <c r="W23" i="8"/>
  <c r="P24" i="8"/>
  <c r="I24" i="8"/>
  <c r="W24" i="8"/>
  <c r="P25" i="8"/>
  <c r="I25" i="8"/>
  <c r="W25" i="8"/>
  <c r="P26" i="8"/>
  <c r="I26" i="8"/>
  <c r="W26" i="8"/>
  <c r="P27" i="8"/>
  <c r="I27" i="8"/>
  <c r="W27" i="8"/>
  <c r="P28" i="8"/>
  <c r="I28" i="8"/>
  <c r="W28" i="8"/>
  <c r="P29" i="8"/>
  <c r="I29" i="8"/>
  <c r="W29" i="8"/>
  <c r="P30" i="8"/>
  <c r="I30" i="8"/>
  <c r="W30" i="8"/>
  <c r="P31" i="8"/>
  <c r="I31" i="8"/>
  <c r="W31" i="8"/>
  <c r="P32" i="8"/>
  <c r="I32" i="8"/>
  <c r="W32" i="8"/>
  <c r="P33" i="8"/>
  <c r="I33" i="8"/>
  <c r="W33" i="8"/>
  <c r="W34" i="8"/>
  <c r="W35" i="8"/>
  <c r="W36" i="8"/>
  <c r="W37" i="8"/>
  <c r="W38" i="8"/>
  <c r="W39" i="8"/>
  <c r="W40" i="8"/>
  <c r="W41" i="8"/>
  <c r="W42" i="8"/>
  <c r="P20" i="8"/>
  <c r="I20" i="8"/>
  <c r="W20" i="8"/>
  <c r="S21" i="8"/>
  <c r="T21" i="8"/>
  <c r="S22" i="8"/>
  <c r="T22" i="8"/>
  <c r="S23" i="8"/>
  <c r="T23" i="8"/>
  <c r="S24" i="8"/>
  <c r="T24" i="8"/>
  <c r="S25" i="8"/>
  <c r="T25" i="8"/>
  <c r="S26" i="8"/>
  <c r="T26" i="8"/>
  <c r="S27" i="8"/>
  <c r="T27" i="8"/>
  <c r="S28" i="8"/>
  <c r="T28" i="8"/>
  <c r="S29" i="8"/>
  <c r="T29" i="8"/>
  <c r="S30" i="8"/>
  <c r="T30" i="8"/>
  <c r="S31" i="8"/>
  <c r="T31" i="8"/>
  <c r="S32" i="8"/>
  <c r="T32" i="8"/>
  <c r="S33" i="8"/>
  <c r="T33" i="8"/>
  <c r="S20" i="8"/>
  <c r="T20" i="8"/>
  <c r="C5" i="11"/>
  <c r="C7" i="11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20" i="8"/>
</calcChain>
</file>

<file path=xl/sharedStrings.xml><?xml version="1.0" encoding="utf-8"?>
<sst xmlns="http://schemas.openxmlformats.org/spreadsheetml/2006/main" count="164" uniqueCount="78">
  <si>
    <t xml:space="preserve">INVENTORY MANAGEMENT SYSTEM </t>
  </si>
  <si>
    <t xml:space="preserve">R&amp;N ENTERPRISES </t>
  </si>
  <si>
    <t>DATE</t>
  </si>
  <si>
    <t>SR .NO</t>
  </si>
  <si>
    <t>PURCHASES</t>
  </si>
  <si>
    <t>STOCK INWARD REPORT</t>
  </si>
  <si>
    <t>STOCK OUTWARD REPORT</t>
  </si>
  <si>
    <t>NET STOCK REPORT</t>
  </si>
  <si>
    <t>SR</t>
  </si>
  <si>
    <t xml:space="preserve">PRODUCT </t>
  </si>
  <si>
    <t>QUANTITY</t>
  </si>
  <si>
    <t>SR#</t>
  </si>
  <si>
    <t>PRODUCT</t>
  </si>
  <si>
    <t>MIN . QUANTITY</t>
  </si>
  <si>
    <t>PLACE ORDER</t>
  </si>
  <si>
    <t xml:space="preserve">LINED PAPER </t>
  </si>
  <si>
    <t xml:space="preserve">UNLINED PAPER </t>
  </si>
  <si>
    <t xml:space="preserve">STICKY NOTES </t>
  </si>
  <si>
    <t>INK-JET -CARTIDGES</t>
  </si>
  <si>
    <t>HIGHLIGHTER PENS</t>
  </si>
  <si>
    <t>TAPE</t>
  </si>
  <si>
    <t>MARKER PENS</t>
  </si>
  <si>
    <t xml:space="preserve">DRAWING PINS </t>
  </si>
  <si>
    <t xml:space="preserve">POINTERS </t>
  </si>
  <si>
    <t>BALL POINT</t>
  </si>
  <si>
    <t xml:space="preserve">HARD CHARTS </t>
  </si>
  <si>
    <t xml:space="preserve">SOFT CHARTS </t>
  </si>
  <si>
    <t>COMPUTER PAPERS</t>
  </si>
  <si>
    <t>LINED PAPER</t>
  </si>
  <si>
    <t xml:space="preserve">HOT GLUE </t>
  </si>
  <si>
    <t>RATE</t>
  </si>
  <si>
    <t>AMOUNT</t>
  </si>
  <si>
    <t>PROFIT /LOSS</t>
  </si>
  <si>
    <t>NAME</t>
  </si>
  <si>
    <t>LOAN</t>
  </si>
  <si>
    <t xml:space="preserve">HOT SLUE </t>
  </si>
  <si>
    <t xml:space="preserve">INK - JET CARTIDGES </t>
  </si>
  <si>
    <t xml:space="preserve">TAPE </t>
  </si>
  <si>
    <t xml:space="preserve">MARKER PENS </t>
  </si>
  <si>
    <t>DRAWING PINS</t>
  </si>
  <si>
    <t>POINTERS</t>
  </si>
  <si>
    <t xml:space="preserve">BALL POINT </t>
  </si>
  <si>
    <t>HARD CHARTS</t>
  </si>
  <si>
    <t xml:space="preserve">COMPUTER PAPERS </t>
  </si>
  <si>
    <t xml:space="preserve">POINT OF SALE </t>
  </si>
  <si>
    <t xml:space="preserve">ITEM NAME </t>
  </si>
  <si>
    <t>TOTAL</t>
  </si>
  <si>
    <t xml:space="preserve">SUB TOTAL: </t>
  </si>
  <si>
    <t>TAX:</t>
  </si>
  <si>
    <t>TOTAL:</t>
  </si>
  <si>
    <t>PAYMENT :</t>
  </si>
  <si>
    <t>CHANGE :</t>
  </si>
  <si>
    <t xml:space="preserve">PRICE </t>
  </si>
  <si>
    <t xml:space="preserve">SCAN ITEM </t>
  </si>
  <si>
    <t>QTY</t>
  </si>
  <si>
    <t>PRICE</t>
  </si>
  <si>
    <t>SUB TOTAL:</t>
  </si>
  <si>
    <t xml:space="preserve">TOTAL: </t>
  </si>
  <si>
    <t xml:space="preserve">PAYMENT: </t>
  </si>
  <si>
    <t xml:space="preserve">CHANGE: </t>
  </si>
  <si>
    <t xml:space="preserve">ITEM LOAD </t>
  </si>
  <si>
    <t>ITEM ROW</t>
  </si>
  <si>
    <t xml:space="preserve">RCPT ROW </t>
  </si>
  <si>
    <t>NEXT RCPT#</t>
  </si>
  <si>
    <t xml:space="preserve">ITEM ID </t>
  </si>
  <si>
    <t xml:space="preserve">LUKHMAN </t>
  </si>
  <si>
    <t>0334-0949056-9</t>
  </si>
  <si>
    <t>SAJAAD</t>
  </si>
  <si>
    <t>0334-0976589-9</t>
  </si>
  <si>
    <t>total</t>
  </si>
  <si>
    <t>PHONE #</t>
  </si>
  <si>
    <t>PAYED</t>
  </si>
  <si>
    <t>payed</t>
  </si>
  <si>
    <t>item</t>
  </si>
  <si>
    <t>price</t>
  </si>
  <si>
    <t>qty</t>
  </si>
  <si>
    <t>RECIEPT</t>
  </si>
  <si>
    <r>
      <rPr>
        <sz val="36"/>
        <color theme="1"/>
        <rFont val="Bahnschrift SemiBold Condensed"/>
        <family val="2"/>
      </rPr>
      <t>THANKYOU !!!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</si>
</sst>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_-[$Rs-420]\ * #,##0_-;\-[$Rs-420]\ * #,##0_-;_-[$Rs-420]\ * &quot;-&quot;_-;_-@_-"/>
    <numFmt numFmtId="165" formatCode="_-[$Rs-420]\ * #,##0.00_-;\-[$Rs-420]\ * #,##0.00_-;_-[$Rs-420]\ * &quot;-&quot;??_-;_-@_-"/>
  </numFmts>
  <fonts count="19" x14ac:knownFonts="1">
    <font>
      <sz val="11"/>
      <color theme="1"/>
      <name val="Calibri"/>
      <family val="2"/>
      <scheme val="minor"/>
    </font>
    <font>
      <b/>
      <sz val="36"/>
      <color theme="1"/>
      <name val="Courier"/>
      <family val="3"/>
    </font>
    <font>
      <sz val="16"/>
      <color theme="1"/>
      <name val="Freestyle Script"/>
      <family val="4"/>
    </font>
    <font>
      <sz val="11"/>
      <color theme="5" tint="-0.249977111117893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5" tint="-0.249977111117893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1"/>
      <name val="Agency FB"/>
      <family val="2"/>
    </font>
    <font>
      <u/>
      <sz val="11"/>
      <color theme="1"/>
      <name val="Calibri"/>
      <family val="2"/>
      <scheme val="minor"/>
    </font>
    <font>
      <sz val="72"/>
      <color theme="1"/>
      <name val="Curlz MT"/>
      <family val="5"/>
    </font>
    <font>
      <b/>
      <sz val="16"/>
      <name val="Calibri"/>
      <family val="2"/>
      <scheme val="minor"/>
    </font>
    <font>
      <sz val="9"/>
      <color theme="1"/>
      <name val="Calibri"/>
      <family val="2"/>
      <scheme val="minor"/>
    </font>
    <font>
      <sz val="36"/>
      <color theme="1"/>
      <name val="Bahnschrift SemiBold Condensed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gradientFill degree="270">
        <stop position="0">
          <color theme="8" tint="0.59999389629810485"/>
        </stop>
        <stop position="1">
          <color theme="8"/>
        </stop>
      </gradientFill>
    </fill>
    <fill>
      <gradientFill degree="270">
        <stop position="0">
          <color theme="8"/>
        </stop>
        <stop position="1">
          <color theme="8" tint="0.40000610370189521"/>
        </stop>
      </gradientFill>
    </fill>
    <fill>
      <gradientFill degree="45"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gradientFill degree="270">
        <stop position="0">
          <color theme="8" tint="0.40000610370189521"/>
        </stop>
        <stop position="1">
          <color theme="8" tint="-0.25098422193060094"/>
        </stop>
      </gradient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ck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thick">
        <color theme="8" tint="-0.499984740745262"/>
      </left>
      <right style="mediumDashed">
        <color theme="8" tint="-0.499984740745262"/>
      </right>
      <top/>
      <bottom/>
      <diagonal/>
    </border>
    <border>
      <left style="mediumDashed">
        <color theme="8" tint="-0.499984740745262"/>
      </left>
      <right style="thick">
        <color theme="8" tint="-0.499984740745262"/>
      </right>
      <top/>
      <bottom/>
      <diagonal/>
    </border>
    <border>
      <left style="thick">
        <color theme="8" tint="-0.499984740745262"/>
      </left>
      <right style="mediumDashed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ck">
        <color theme="8" tint="-0.499984740745262"/>
      </left>
      <right style="mediumDashed">
        <color theme="8" tint="-0.499984740745262"/>
      </right>
      <top style="thin">
        <color theme="8" tint="-0.499984740745262"/>
      </top>
      <bottom style="thick">
        <color theme="8" tint="-0.499984740745262"/>
      </bottom>
      <diagonal/>
    </border>
    <border>
      <left style="mediumDashed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ck">
        <color theme="8" tint="-0.499984740745262"/>
      </bottom>
      <diagonal/>
    </border>
    <border>
      <left style="thin">
        <color theme="8" tint="-0.499984740745262"/>
      </left>
      <right style="thick">
        <color theme="8" tint="-0.499984740745262"/>
      </right>
      <top style="thin">
        <color theme="8" tint="-0.499984740745262"/>
      </top>
      <bottom style="thick">
        <color theme="8" tint="-0.499984740745262"/>
      </bottom>
      <diagonal/>
    </border>
    <border>
      <left style="thick">
        <color theme="8" tint="-0.499984740745262"/>
      </left>
      <right/>
      <top style="thick">
        <color theme="8" tint="-0.499984740745262"/>
      </top>
      <bottom style="thick">
        <color theme="8" tint="-0.499984740745262"/>
      </bottom>
      <diagonal/>
    </border>
    <border>
      <left/>
      <right/>
      <top style="thick">
        <color theme="8" tint="-0.499984740745262"/>
      </top>
      <bottom style="thick">
        <color theme="8" tint="-0.499984740745262"/>
      </bottom>
      <diagonal/>
    </border>
    <border>
      <left/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/>
      <right style="thick">
        <color theme="8" tint="-0.499984740745262"/>
      </right>
      <top/>
      <bottom/>
      <diagonal/>
    </border>
    <border>
      <left style="thick">
        <color theme="8" tint="-0.499984740745262"/>
      </left>
      <right style="mediumDashed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 style="mediumDashed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  <border>
      <left/>
      <right style="thick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ck">
        <color theme="8" tint="-0.499984740745262"/>
      </left>
      <right style="mediumDashed">
        <color theme="8" tint="-0.499984740745262"/>
      </right>
      <top style="thick">
        <color theme="8" tint="-0.499984740745262"/>
      </top>
      <bottom/>
      <diagonal/>
    </border>
    <border>
      <left style="mediumDashed">
        <color theme="8" tint="-0.499984740745262"/>
      </left>
      <right style="thick">
        <color theme="8" tint="-0.499984740745262"/>
      </right>
      <top style="thick">
        <color theme="8" tint="-0.499984740745262"/>
      </top>
      <bottom/>
      <diagonal/>
    </border>
    <border>
      <left style="mediumDashed">
        <color theme="8" tint="-0.499984740745262"/>
      </left>
      <right style="thick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 style="thin">
        <color theme="8" tint="-0.499984740745262"/>
      </right>
      <top/>
      <bottom/>
      <diagonal/>
    </border>
    <border>
      <left style="thin">
        <color theme="8" tint="-0.499984740745262"/>
      </left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3" tint="-0.499984740745262"/>
      </right>
      <top/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6" fillId="0" borderId="0"/>
  </cellStyleXfs>
  <cellXfs count="10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/>
    <xf numFmtId="0" fontId="0" fillId="10" borderId="1" xfId="0" applyFill="1" applyBorder="1" applyAlignment="1"/>
    <xf numFmtId="0" fontId="0" fillId="10" borderId="6" xfId="0" applyFill="1" applyBorder="1" applyAlignment="1"/>
    <xf numFmtId="0" fontId="0" fillId="10" borderId="7" xfId="0" applyFill="1" applyBorder="1" applyAlignment="1">
      <alignment horizontal="center" vertical="center" wrapText="1"/>
    </xf>
    <xf numFmtId="0" fontId="0" fillId="10" borderId="4" xfId="0" applyFill="1" applyBorder="1" applyAlignment="1"/>
    <xf numFmtId="0" fontId="0" fillId="10" borderId="2" xfId="0" applyFill="1" applyBorder="1" applyAlignment="1"/>
    <xf numFmtId="0" fontId="0" fillId="10" borderId="7" xfId="0" applyFill="1" applyBorder="1" applyAlignment="1"/>
    <xf numFmtId="0" fontId="8" fillId="13" borderId="7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center" vertical="center" wrapText="1"/>
    </xf>
    <xf numFmtId="164" fontId="8" fillId="13" borderId="7" xfId="0" applyNumberFormat="1" applyFont="1" applyFill="1" applyBorder="1" applyAlignment="1">
      <alignment horizontal="center" vertical="center" wrapText="1"/>
    </xf>
    <xf numFmtId="0" fontId="9" fillId="10" borderId="7" xfId="0" applyFont="1" applyFill="1" applyBorder="1" applyAlignment="1">
      <alignment horizontal="center" vertical="center" wrapText="1"/>
    </xf>
    <xf numFmtId="14" fontId="9" fillId="10" borderId="7" xfId="0" applyNumberFormat="1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 wrapText="1"/>
    </xf>
    <xf numFmtId="164" fontId="9" fillId="10" borderId="7" xfId="1" applyNumberFormat="1" applyFont="1" applyFill="1" applyBorder="1" applyAlignment="1">
      <alignment horizontal="center" vertical="center" wrapText="1"/>
    </xf>
    <xf numFmtId="164" fontId="9" fillId="10" borderId="7" xfId="0" applyNumberFormat="1" applyFont="1" applyFill="1" applyBorder="1" applyAlignment="1">
      <alignment horizontal="center" vertical="center" wrapText="1"/>
    </xf>
    <xf numFmtId="164" fontId="8" fillId="13" borderId="7" xfId="1" applyNumberFormat="1" applyFont="1" applyFill="1" applyBorder="1" applyAlignment="1">
      <alignment horizontal="center" vertical="center" wrapText="1"/>
    </xf>
    <xf numFmtId="165" fontId="9" fillId="10" borderId="7" xfId="0" applyNumberFormat="1" applyFont="1" applyFill="1" applyBorder="1" applyAlignment="1">
      <alignment horizontal="center" vertical="center" wrapText="1"/>
    </xf>
    <xf numFmtId="0" fontId="0" fillId="7" borderId="0" xfId="0" applyFill="1"/>
    <xf numFmtId="0" fontId="0" fillId="11" borderId="0" xfId="0" applyFill="1"/>
    <xf numFmtId="0" fontId="11" fillId="15" borderId="0" xfId="0" applyFont="1" applyFill="1" applyAlignment="1"/>
    <xf numFmtId="0" fontId="10" fillId="11" borderId="0" xfId="0" applyFont="1" applyFill="1"/>
    <xf numFmtId="0" fontId="10" fillId="11" borderId="0" xfId="0" applyFont="1" applyFill="1" applyBorder="1"/>
    <xf numFmtId="0" fontId="10" fillId="6" borderId="0" xfId="0" applyFont="1" applyFill="1" applyAlignment="1">
      <alignment horizontal="center"/>
    </xf>
    <xf numFmtId="0" fontId="0" fillId="6" borderId="0" xfId="0" applyFill="1" applyAlignment="1"/>
    <xf numFmtId="0" fontId="14" fillId="11" borderId="0" xfId="0" applyFont="1" applyFill="1" applyAlignment="1">
      <alignment vertical="center"/>
    </xf>
    <xf numFmtId="0" fontId="2" fillId="11" borderId="0" xfId="0" applyFont="1" applyFill="1" applyAlignment="1"/>
    <xf numFmtId="0" fontId="13" fillId="11" borderId="0" xfId="0" applyFont="1" applyFill="1" applyAlignment="1"/>
    <xf numFmtId="0" fontId="0" fillId="11" borderId="0" xfId="0" applyFill="1" applyAlignment="1"/>
    <xf numFmtId="0" fontId="10" fillId="11" borderId="15" xfId="0" applyFont="1" applyFill="1" applyBorder="1" applyAlignment="1">
      <alignment horizontal="right"/>
    </xf>
    <xf numFmtId="0" fontId="10" fillId="11" borderId="0" xfId="0" applyFont="1" applyFill="1" applyAlignment="1">
      <alignment horizontal="right"/>
    </xf>
    <xf numFmtId="0" fontId="0" fillId="2" borderId="14" xfId="0" applyFill="1" applyBorder="1" applyAlignment="1">
      <alignment horizontal="left" vertical="center"/>
    </xf>
    <xf numFmtId="164" fontId="10" fillId="11" borderId="24" xfId="0" applyNumberFormat="1" applyFont="1" applyFill="1" applyBorder="1"/>
    <xf numFmtId="164" fontId="10" fillId="11" borderId="25" xfId="0" applyNumberFormat="1" applyFont="1" applyFill="1" applyBorder="1"/>
    <xf numFmtId="164" fontId="10" fillId="11" borderId="21" xfId="0" applyNumberFormat="1" applyFont="1" applyFill="1" applyBorder="1"/>
    <xf numFmtId="164" fontId="10" fillId="11" borderId="28" xfId="0" applyNumberFormat="1" applyFont="1" applyFill="1" applyBorder="1"/>
    <xf numFmtId="0" fontId="0" fillId="3" borderId="1" xfId="0" applyFill="1" applyBorder="1" applyAlignment="1">
      <alignment horizontal="center" vertical="center" wrapText="1"/>
    </xf>
    <xf numFmtId="0" fontId="10" fillId="6" borderId="0" xfId="0" applyFont="1" applyFill="1" applyAlignment="1"/>
    <xf numFmtId="0" fontId="9" fillId="2" borderId="7" xfId="0" applyFont="1" applyFill="1" applyBorder="1" applyAlignment="1">
      <alignment horizontal="left" vertical="center" wrapText="1"/>
    </xf>
    <xf numFmtId="164" fontId="9" fillId="2" borderId="7" xfId="1" applyNumberFormat="1" applyFont="1" applyFill="1" applyBorder="1" applyAlignment="1">
      <alignment horizontal="center" vertical="center" wrapText="1"/>
    </xf>
    <xf numFmtId="0" fontId="16" fillId="8" borderId="7" xfId="0" applyFont="1" applyFill="1" applyBorder="1" applyAlignment="1">
      <alignment horizontal="center" vertical="center" wrapText="1"/>
    </xf>
    <xf numFmtId="164" fontId="16" fillId="8" borderId="7" xfId="1" applyNumberFormat="1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32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 wrapText="1"/>
    </xf>
    <xf numFmtId="164" fontId="0" fillId="3" borderId="14" xfId="0" applyNumberFormat="1" applyFill="1" applyBorder="1" applyAlignment="1">
      <alignment horizontal="center" vertical="center" wrapText="1"/>
    </xf>
    <xf numFmtId="0" fontId="0" fillId="16" borderId="0" xfId="0" applyFill="1"/>
    <xf numFmtId="0" fontId="0" fillId="16" borderId="0" xfId="0" applyFill="1" applyAlignment="1">
      <alignment wrapText="1"/>
    </xf>
    <xf numFmtId="0" fontId="0" fillId="16" borderId="0" xfId="0" applyFill="1" applyAlignment="1"/>
    <xf numFmtId="0" fontId="0" fillId="12" borderId="14" xfId="0" applyFill="1" applyBorder="1" applyAlignment="1">
      <alignment horizontal="center"/>
    </xf>
    <xf numFmtId="0" fontId="5" fillId="10" borderId="14" xfId="0" applyFont="1" applyFill="1" applyBorder="1" applyAlignment="1">
      <alignment horizontal="center" vertical="center" wrapText="1"/>
    </xf>
    <xf numFmtId="0" fontId="0" fillId="10" borderId="14" xfId="0" applyFill="1" applyBorder="1" applyAlignment="1">
      <alignment wrapText="1"/>
    </xf>
    <xf numFmtId="2" fontId="0" fillId="9" borderId="14" xfId="0" applyNumberFormat="1" applyFill="1" applyBorder="1" applyAlignment="1">
      <alignment horizontal="right"/>
    </xf>
    <xf numFmtId="164" fontId="0" fillId="9" borderId="14" xfId="0" applyNumberFormat="1" applyFill="1" applyBorder="1"/>
    <xf numFmtId="0" fontId="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5" borderId="35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 wrapText="1"/>
    </xf>
    <xf numFmtId="0" fontId="17" fillId="12" borderId="39" xfId="0" applyFont="1" applyFill="1" applyBorder="1" applyAlignment="1">
      <alignment horizontal="center" vertical="center" wrapText="1"/>
    </xf>
    <xf numFmtId="0" fontId="17" fillId="12" borderId="0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/>
    </xf>
    <xf numFmtId="0" fontId="10" fillId="6" borderId="23" xfId="0" applyFont="1" applyFill="1" applyBorder="1" applyAlignment="1">
      <alignment horizont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10" fillId="11" borderId="26" xfId="0" applyFont="1" applyFill="1" applyBorder="1" applyAlignment="1">
      <alignment horizontal="left"/>
    </xf>
    <xf numFmtId="0" fontId="10" fillId="11" borderId="27" xfId="0" applyFont="1" applyFill="1" applyBorder="1" applyAlignment="1">
      <alignment horizontal="left"/>
    </xf>
    <xf numFmtId="0" fontId="10" fillId="6" borderId="0" xfId="0" applyFont="1" applyFill="1" applyAlignment="1">
      <alignment horizontal="center"/>
    </xf>
    <xf numFmtId="0" fontId="10" fillId="11" borderId="19" xfId="0" applyFont="1" applyFill="1" applyBorder="1" applyAlignment="1">
      <alignment horizontal="left"/>
    </xf>
    <xf numFmtId="0" fontId="10" fillId="11" borderId="20" xfId="0" applyFont="1" applyFill="1" applyBorder="1" applyAlignment="1">
      <alignment horizontal="left"/>
    </xf>
    <xf numFmtId="0" fontId="0" fillId="14" borderId="0" xfId="0" applyFill="1" applyAlignment="1">
      <alignment horizontal="center"/>
    </xf>
    <xf numFmtId="0" fontId="15" fillId="15" borderId="0" xfId="0" applyFont="1" applyFill="1" applyAlignment="1">
      <alignment horizontal="center" vertical="center"/>
    </xf>
    <xf numFmtId="0" fontId="10" fillId="11" borderId="29" xfId="0" applyFont="1" applyFill="1" applyBorder="1" applyAlignment="1">
      <alignment horizontal="left"/>
    </xf>
    <xf numFmtId="0" fontId="10" fillId="11" borderId="30" xfId="0" applyFont="1" applyFill="1" applyBorder="1" applyAlignment="1">
      <alignment horizontal="left"/>
    </xf>
    <xf numFmtId="0" fontId="10" fillId="11" borderId="18" xfId="0" applyFont="1" applyFill="1" applyBorder="1" applyAlignment="1">
      <alignment horizontal="left"/>
    </xf>
    <xf numFmtId="0" fontId="10" fillId="11" borderId="31" xfId="0" applyFont="1" applyFill="1" applyBorder="1" applyAlignment="1">
      <alignment horizontal="left"/>
    </xf>
    <xf numFmtId="0" fontId="10" fillId="11" borderId="16" xfId="0" applyFont="1" applyFill="1" applyBorder="1" applyAlignment="1">
      <alignment horizontal="left"/>
    </xf>
    <xf numFmtId="0" fontId="10" fillId="11" borderId="17" xfId="0" applyFont="1" applyFill="1" applyBorder="1" applyAlignment="1">
      <alignment horizontal="left"/>
    </xf>
    <xf numFmtId="0" fontId="12" fillId="17" borderId="0" xfId="0" applyFont="1" applyFill="1" applyAlignment="1">
      <alignment horizontal="center"/>
    </xf>
    <xf numFmtId="0" fontId="0" fillId="16" borderId="0" xfId="0" applyFill="1" applyAlignment="1">
      <alignment horizontal="center" wrapText="1"/>
    </xf>
  </cellXfs>
  <cellStyles count="3">
    <cellStyle name="Currency" xfId="1" builtinId="4"/>
    <cellStyle name="Normal" xfId="0" builtinId="0"/>
    <cellStyle name="Normal 2" xfId="2"/>
  </cellStyles>
  <dxfs count="4"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8" tint="-0.25098422193060094"/>
          </stop>
        </gradientFill>
      </fill>
    </dxf>
    <dxf>
      <font>
        <b/>
        <i val="0"/>
        <color theme="0"/>
      </font>
      <fill>
        <gradientFill degree="90">
          <stop position="0">
            <color theme="8" tint="-0.49803155613879818"/>
          </stop>
          <stop position="1">
            <color theme="8" tint="-0.25098422193060094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  <color rgb="FFFFFF66"/>
      <color rgb="FFCCFF33"/>
      <color rgb="FFFF9999"/>
      <color rgb="FFFFFF99"/>
      <color rgb="FFFF0066"/>
      <color rgb="FFCC9900"/>
      <color rgb="FFFF5050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es recipt'!A1"/><Relationship Id="rId2" Type="http://schemas.openxmlformats.org/officeDocument/2006/relationships/hyperlink" Target="#CUSTOMER!A1"/><Relationship Id="rId1" Type="http://schemas.openxmlformats.org/officeDocument/2006/relationships/hyperlink" Target="#STOCK!A1"/><Relationship Id="rId5" Type="http://schemas.openxmlformats.org/officeDocument/2006/relationships/image" Target="../media/image1.png"/><Relationship Id="rId4" Type="http://schemas.openxmlformats.org/officeDocument/2006/relationships/hyperlink" Target="#P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cpt!A1"/><Relationship Id="rId2" Type="http://schemas.openxmlformats.org/officeDocument/2006/relationships/image" Target="../media/image3.png"/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133350</xdr:rowOff>
    </xdr:from>
    <xdr:to>
      <xdr:col>6</xdr:col>
      <xdr:colOff>552450</xdr:colOff>
      <xdr:row>11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09550" y="1276350"/>
          <a:ext cx="4000500" cy="100965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STOCK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>
    <xdr:from>
      <xdr:col>13</xdr:col>
      <xdr:colOff>400050</xdr:colOff>
      <xdr:row>17</xdr:row>
      <xdr:rowOff>38100</xdr:rowOff>
    </xdr:from>
    <xdr:to>
      <xdr:col>20</xdr:col>
      <xdr:colOff>133350</xdr:colOff>
      <xdr:row>22</xdr:row>
      <xdr:rowOff>95250</xdr:rowOff>
    </xdr:to>
    <xdr:sp macro="" textlink="">
      <xdr:nvSpPr>
        <xdr:cNvPr id="35" name="Rounded Rectangle 34">
          <a:hlinkClick xmlns:r="http://schemas.openxmlformats.org/officeDocument/2006/relationships" r:id="rId2"/>
        </xdr:cNvPr>
        <xdr:cNvSpPr/>
      </xdr:nvSpPr>
      <xdr:spPr>
        <a:xfrm>
          <a:off x="8324850" y="3467100"/>
          <a:ext cx="4000500" cy="1009650"/>
        </a:xfrm>
        <a:prstGeom prst="roundRect">
          <a:avLst/>
        </a:prstGeom>
        <a:gradFill flip="none" rotWithShape="1">
          <a:gsLst>
            <a:gs pos="0">
              <a:schemeClr val="tx2">
                <a:lumMod val="75000"/>
                <a:shade val="30000"/>
                <a:satMod val="115000"/>
              </a:schemeClr>
            </a:gs>
            <a:gs pos="50000">
              <a:schemeClr val="tx2">
                <a:lumMod val="75000"/>
                <a:shade val="67500"/>
                <a:satMod val="115000"/>
              </a:schemeClr>
            </a:gs>
            <a:gs pos="100000">
              <a:schemeClr val="tx2">
                <a:lumMod val="7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CUSTMOR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>
    <xdr:from>
      <xdr:col>0</xdr:col>
      <xdr:colOff>219075</xdr:colOff>
      <xdr:row>17</xdr:row>
      <xdr:rowOff>38100</xdr:rowOff>
    </xdr:from>
    <xdr:to>
      <xdr:col>6</xdr:col>
      <xdr:colOff>561975</xdr:colOff>
      <xdr:row>22</xdr:row>
      <xdr:rowOff>95250</xdr:rowOff>
    </xdr:to>
    <xdr:sp macro="" textlink="">
      <xdr:nvSpPr>
        <xdr:cNvPr id="36" name="Rounded Rectangle 35">
          <a:hlinkClick xmlns:r="http://schemas.openxmlformats.org/officeDocument/2006/relationships" r:id="rId3"/>
        </xdr:cNvPr>
        <xdr:cNvSpPr/>
      </xdr:nvSpPr>
      <xdr:spPr>
        <a:xfrm>
          <a:off x="219075" y="3467100"/>
          <a:ext cx="4000500" cy="100965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SALES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>
    <xdr:from>
      <xdr:col>13</xdr:col>
      <xdr:colOff>285750</xdr:colOff>
      <xdr:row>5</xdr:row>
      <xdr:rowOff>133350</xdr:rowOff>
    </xdr:from>
    <xdr:to>
      <xdr:col>20</xdr:col>
      <xdr:colOff>19050</xdr:colOff>
      <xdr:row>11</xdr:row>
      <xdr:rowOff>0</xdr:rowOff>
    </xdr:to>
    <xdr:sp macro="" textlink="">
      <xdr:nvSpPr>
        <xdr:cNvPr id="37" name="Rounded Rectangle 36">
          <a:hlinkClick xmlns:r="http://schemas.openxmlformats.org/officeDocument/2006/relationships" r:id="rId4"/>
        </xdr:cNvPr>
        <xdr:cNvSpPr/>
      </xdr:nvSpPr>
      <xdr:spPr>
        <a:xfrm>
          <a:off x="8210550" y="1276350"/>
          <a:ext cx="4000500" cy="1009650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POS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 editAs="oneCell">
    <xdr:from>
      <xdr:col>6</xdr:col>
      <xdr:colOff>257175</xdr:colOff>
      <xdr:row>3</xdr:row>
      <xdr:rowOff>38100</xdr:rowOff>
    </xdr:from>
    <xdr:to>
      <xdr:col>14</xdr:col>
      <xdr:colOff>219075</xdr:colOff>
      <xdr:row>27</xdr:row>
      <xdr:rowOff>114300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4775" y="609600"/>
          <a:ext cx="4838700" cy="483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0</xdr:row>
      <xdr:rowOff>25977</xdr:rowOff>
    </xdr:from>
    <xdr:to>
      <xdr:col>44</xdr:col>
      <xdr:colOff>0</xdr:colOff>
      <xdr:row>3</xdr:row>
      <xdr:rowOff>0</xdr:rowOff>
    </xdr:to>
    <xdr:sp macro="" textlink="">
      <xdr:nvSpPr>
        <xdr:cNvPr id="2" name="Rectangle 1"/>
        <xdr:cNvSpPr/>
      </xdr:nvSpPr>
      <xdr:spPr>
        <a:xfrm>
          <a:off x="17318" y="25977"/>
          <a:ext cx="14203507" cy="54552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chemeClr val="tx1"/>
              </a:solidFill>
              <a:latin typeface="Freestyle Script" panose="030804020302050B0404" pitchFamily="66" charset="0"/>
            </a:rPr>
            <a:t>R</a:t>
          </a:r>
          <a:r>
            <a:rPr lang="en-US" sz="3200" baseline="0">
              <a:solidFill>
                <a:schemeClr val="tx1"/>
              </a:solidFill>
              <a:latin typeface="Freestyle Script" panose="030804020302050B0404" pitchFamily="66" charset="0"/>
            </a:rPr>
            <a:t> &amp; N ENTERPRIZES</a:t>
          </a:r>
          <a:endParaRPr lang="en-US" sz="3200">
            <a:solidFill>
              <a:schemeClr val="tx1"/>
            </a:solidFill>
            <a:latin typeface="Freestyle Script" panose="030804020302050B0404" pitchFamily="66" charset="0"/>
          </a:endParaRPr>
        </a:p>
      </xdr:txBody>
    </xdr:sp>
    <xdr:clientData/>
  </xdr:twoCellAnchor>
  <xdr:twoCellAnchor>
    <xdr:from>
      <xdr:col>0</xdr:col>
      <xdr:colOff>17319</xdr:colOff>
      <xdr:row>3</xdr:row>
      <xdr:rowOff>164523</xdr:rowOff>
    </xdr:from>
    <xdr:to>
      <xdr:col>3</xdr:col>
      <xdr:colOff>152400</xdr:colOff>
      <xdr:row>8</xdr:row>
      <xdr:rowOff>152400</xdr:rowOff>
    </xdr:to>
    <xdr:sp macro="" textlink="">
      <xdr:nvSpPr>
        <xdr:cNvPr id="3" name="Oval 2">
          <a:hlinkClick xmlns:r="http://schemas.openxmlformats.org/officeDocument/2006/relationships" r:id="rId2"/>
        </xdr:cNvPr>
        <xdr:cNvSpPr/>
      </xdr:nvSpPr>
      <xdr:spPr>
        <a:xfrm>
          <a:off x="17319" y="736023"/>
          <a:ext cx="1963881" cy="940377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DASHBOARD</a:t>
          </a:r>
        </a:p>
      </xdr:txBody>
    </xdr:sp>
    <xdr:clientData/>
  </xdr:twoCellAnchor>
  <xdr:twoCellAnchor>
    <xdr:from>
      <xdr:col>4</xdr:col>
      <xdr:colOff>8661</xdr:colOff>
      <xdr:row>4</xdr:row>
      <xdr:rowOff>95250</xdr:rowOff>
    </xdr:from>
    <xdr:to>
      <xdr:col>40</xdr:col>
      <xdr:colOff>103910</xdr:colOff>
      <xdr:row>8</xdr:row>
      <xdr:rowOff>147205</xdr:rowOff>
    </xdr:to>
    <xdr:sp macro="" textlink="">
      <xdr:nvSpPr>
        <xdr:cNvPr id="4" name="Rectangle 3"/>
        <xdr:cNvSpPr/>
      </xdr:nvSpPr>
      <xdr:spPr>
        <a:xfrm>
          <a:off x="2447061" y="857250"/>
          <a:ext cx="9439274" cy="81395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FFFF00"/>
              </a:solidFill>
              <a:latin typeface="Jokerman" panose="04090605060D06020702" pitchFamily="82" charset="0"/>
            </a:rPr>
            <a:t>CUSTOMER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17318</xdr:colOff>
      <xdr:row>0</xdr:row>
      <xdr:rowOff>25977</xdr:rowOff>
    </xdr:from>
    <xdr:to>
      <xdr:col>28</xdr:col>
      <xdr:colOff>0</xdr:colOff>
      <xdr:row>3</xdr:row>
      <xdr:rowOff>0</xdr:rowOff>
    </xdr:to>
    <xdr:sp macro="" textlink="">
      <xdr:nvSpPr>
        <xdr:cNvPr id="2" name="Rectangle 1"/>
        <xdr:cNvSpPr/>
      </xdr:nvSpPr>
      <xdr:spPr>
        <a:xfrm>
          <a:off x="17318" y="25977"/>
          <a:ext cx="14203507" cy="54552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chemeClr val="tx1"/>
              </a:solidFill>
              <a:latin typeface="Freestyle Script" panose="030804020302050B0404" pitchFamily="66" charset="0"/>
            </a:rPr>
            <a:t>R</a:t>
          </a:r>
          <a:r>
            <a:rPr lang="en-US" sz="3200" baseline="0">
              <a:solidFill>
                <a:schemeClr val="tx1"/>
              </a:solidFill>
              <a:latin typeface="Freestyle Script" panose="030804020302050B0404" pitchFamily="66" charset="0"/>
            </a:rPr>
            <a:t> &amp; N ENTERPRIZES</a:t>
          </a:r>
          <a:endParaRPr lang="en-US" sz="3200">
            <a:solidFill>
              <a:schemeClr val="tx1"/>
            </a:solidFill>
            <a:latin typeface="Freestyle Script" panose="030804020302050B0404" pitchFamily="66" charset="0"/>
          </a:endParaRPr>
        </a:p>
      </xdr:txBody>
    </xdr:sp>
    <xdr:clientData/>
  </xdr:twoCellAnchor>
  <xdr:twoCellAnchor>
    <xdr:from>
      <xdr:col>0</xdr:col>
      <xdr:colOff>17319</xdr:colOff>
      <xdr:row>3</xdr:row>
      <xdr:rowOff>164523</xdr:rowOff>
    </xdr:from>
    <xdr:to>
      <xdr:col>3</xdr:col>
      <xdr:colOff>0</xdr:colOff>
      <xdr:row>8</xdr:row>
      <xdr:rowOff>152400</xdr:rowOff>
    </xdr:to>
    <xdr:sp macro="" textlink="">
      <xdr:nvSpPr>
        <xdr:cNvPr id="3" name="Oval 2">
          <a:hlinkClick xmlns:r="http://schemas.openxmlformats.org/officeDocument/2006/relationships" r:id="rId2"/>
        </xdr:cNvPr>
        <xdr:cNvSpPr/>
      </xdr:nvSpPr>
      <xdr:spPr>
        <a:xfrm>
          <a:off x="17319" y="736023"/>
          <a:ext cx="1963881" cy="940377"/>
        </a:xfrm>
        <a:prstGeom prst="ellipse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DASHBOARD</a:t>
          </a:r>
        </a:p>
      </xdr:txBody>
    </xdr:sp>
    <xdr:clientData/>
  </xdr:twoCellAnchor>
  <xdr:twoCellAnchor>
    <xdr:from>
      <xdr:col>3</xdr:col>
      <xdr:colOff>0</xdr:colOff>
      <xdr:row>4</xdr:row>
      <xdr:rowOff>95250</xdr:rowOff>
    </xdr:from>
    <xdr:to>
      <xdr:col>23</xdr:col>
      <xdr:colOff>71438</xdr:colOff>
      <xdr:row>8</xdr:row>
      <xdr:rowOff>147205</xdr:rowOff>
    </xdr:to>
    <xdr:sp macro="" textlink="">
      <xdr:nvSpPr>
        <xdr:cNvPr id="4" name="Rectangle 3"/>
        <xdr:cNvSpPr/>
      </xdr:nvSpPr>
      <xdr:spPr>
        <a:xfrm>
          <a:off x="1857375" y="857250"/>
          <a:ext cx="19121438" cy="81395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FFFF00"/>
              </a:solidFill>
              <a:latin typeface="Jokerman" panose="04090605060D06020702" pitchFamily="82" charset="0"/>
            </a:rPr>
            <a:t>STOCK</a:t>
          </a:r>
          <a:r>
            <a:rPr lang="en-US" sz="3600" baseline="0">
              <a:solidFill>
                <a:srgbClr val="FFFF00"/>
              </a:solidFill>
              <a:latin typeface="Jokerman" panose="04090605060D06020702" pitchFamily="82" charset="0"/>
            </a:rPr>
            <a:t> REPORT</a:t>
          </a:r>
        </a:p>
      </xdr:txBody>
    </xdr:sp>
    <xdr:clientData/>
  </xdr:twoCellAnchor>
  <xdr:twoCellAnchor>
    <xdr:from>
      <xdr:col>4</xdr:col>
      <xdr:colOff>547686</xdr:colOff>
      <xdr:row>10</xdr:row>
      <xdr:rowOff>68035</xdr:rowOff>
    </xdr:from>
    <xdr:to>
      <xdr:col>7</xdr:col>
      <xdr:colOff>870856</xdr:colOff>
      <xdr:row>15</xdr:row>
      <xdr:rowOff>136070</xdr:rowOff>
    </xdr:to>
    <xdr:sp macro="" textlink="">
      <xdr:nvSpPr>
        <xdr:cNvPr id="5" name="Rounded Rectangle 4"/>
        <xdr:cNvSpPr/>
      </xdr:nvSpPr>
      <xdr:spPr>
        <a:xfrm>
          <a:off x="2952749" y="1973035"/>
          <a:ext cx="3609295" cy="102053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PURCHASE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>
    <xdr:from>
      <xdr:col>11</xdr:col>
      <xdr:colOff>27215</xdr:colOff>
      <xdr:row>10</xdr:row>
      <xdr:rowOff>30617</xdr:rowOff>
    </xdr:from>
    <xdr:to>
      <xdr:col>15</xdr:col>
      <xdr:colOff>329973</xdr:colOff>
      <xdr:row>15</xdr:row>
      <xdr:rowOff>98652</xdr:rowOff>
    </xdr:to>
    <xdr:sp macro="" textlink="">
      <xdr:nvSpPr>
        <xdr:cNvPr id="6" name="Rounded Rectangle 5"/>
        <xdr:cNvSpPr/>
      </xdr:nvSpPr>
      <xdr:spPr>
        <a:xfrm>
          <a:off x="9361715" y="1935617"/>
          <a:ext cx="3660321" cy="102053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SALES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  <xdr:twoCellAnchor>
    <xdr:from>
      <xdr:col>18</xdr:col>
      <xdr:colOff>309563</xdr:colOff>
      <xdr:row>10</xdr:row>
      <xdr:rowOff>54428</xdr:rowOff>
    </xdr:from>
    <xdr:to>
      <xdr:col>21</xdr:col>
      <xdr:colOff>476251</xdr:colOff>
      <xdr:row>15</xdr:row>
      <xdr:rowOff>122463</xdr:rowOff>
    </xdr:to>
    <xdr:sp macro="" textlink="">
      <xdr:nvSpPr>
        <xdr:cNvPr id="7" name="Rounded Rectangle 6"/>
        <xdr:cNvSpPr/>
      </xdr:nvSpPr>
      <xdr:spPr>
        <a:xfrm>
          <a:off x="15954376" y="1959428"/>
          <a:ext cx="3619500" cy="1020535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Lef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0" i="0">
              <a:solidFill>
                <a:srgbClr val="FFFF00"/>
              </a:solidFill>
              <a:latin typeface="Jokerman" panose="04090605060D06020702" pitchFamily="82" charset="0"/>
            </a:rPr>
            <a:t>REPORT</a:t>
          </a:r>
          <a:endParaRPr lang="en-US" sz="900" b="0" i="0">
            <a:solidFill>
              <a:srgbClr val="FFFF00"/>
            </a:solidFill>
            <a:latin typeface="Jokerman" panose="04090605060D060207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15</xdr:col>
      <xdr:colOff>257175</xdr:colOff>
      <xdr:row>3</xdr:row>
      <xdr:rowOff>152400</xdr:rowOff>
    </xdr:to>
    <xdr:sp macro="" textlink="">
      <xdr:nvSpPr>
        <xdr:cNvPr id="3" name="Rectangle 2"/>
        <xdr:cNvSpPr/>
      </xdr:nvSpPr>
      <xdr:spPr>
        <a:xfrm>
          <a:off x="0" y="28575"/>
          <a:ext cx="13439775" cy="69532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  <a:shade val="30000"/>
                <a:satMod val="115000"/>
              </a:schemeClr>
            </a:gs>
            <a:gs pos="50000">
              <a:schemeClr val="accent1">
                <a:shade val="30000"/>
                <a:satMod val="115000"/>
                <a:shade val="67500"/>
                <a:satMod val="115000"/>
              </a:schemeClr>
            </a:gs>
            <a:gs pos="100000">
              <a:schemeClr val="accent1">
                <a:shade val="30000"/>
                <a:satMod val="115000"/>
                <a:shade val="100000"/>
                <a:satMod val="115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aseline="0">
              <a:solidFill>
                <a:srgbClr val="FFFF00"/>
              </a:solidFill>
              <a:latin typeface="Jokerman" panose="04090605060D06020702" pitchFamily="82" charset="0"/>
            </a:rPr>
            <a:t>SALES   STOCK</a:t>
          </a:r>
        </a:p>
      </xdr:txBody>
    </xdr:sp>
    <xdr:clientData/>
  </xdr:twoCellAnchor>
  <xdr:twoCellAnchor>
    <xdr:from>
      <xdr:col>1</xdr:col>
      <xdr:colOff>571501</xdr:colOff>
      <xdr:row>4</xdr:row>
      <xdr:rowOff>66676</xdr:rowOff>
    </xdr:from>
    <xdr:to>
      <xdr:col>5</xdr:col>
      <xdr:colOff>200025</xdr:colOff>
      <xdr:row>7</xdr:row>
      <xdr:rowOff>180975</xdr:rowOff>
    </xdr:to>
    <xdr:sp macro="" textlink="">
      <xdr:nvSpPr>
        <xdr:cNvPr id="4" name="Oval 3">
          <a:hlinkClick xmlns:r="http://schemas.openxmlformats.org/officeDocument/2006/relationships" r:id="rId1"/>
        </xdr:cNvPr>
        <xdr:cNvSpPr/>
      </xdr:nvSpPr>
      <xdr:spPr>
        <a:xfrm>
          <a:off x="1181101" y="828676"/>
          <a:ext cx="2066924" cy="904874"/>
        </a:xfrm>
        <a:prstGeom prst="ellipse">
          <a:avLst/>
        </a:prstGeom>
        <a:blipFill>
          <a:blip xmlns:r="http://schemas.openxmlformats.org/officeDocument/2006/relationships" r:embed="rId2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376196</xdr:colOff>
      <xdr:row>0</xdr:row>
      <xdr:rowOff>85642</xdr:rowOff>
    </xdr:from>
    <xdr:to>
      <xdr:col>17</xdr:col>
      <xdr:colOff>262042</xdr:colOff>
      <xdr:row>1</xdr:row>
      <xdr:rowOff>402064</xdr:rowOff>
    </xdr:to>
    <xdr:pic>
      <xdr:nvPicPr>
        <xdr:cNvPr id="33" name="Picture 3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64167" y="85642"/>
          <a:ext cx="3763081" cy="1750775"/>
        </a:xfrm>
        <a:prstGeom prst="rect">
          <a:avLst/>
        </a:prstGeom>
      </xdr:spPr>
    </xdr:pic>
    <xdr:clientData/>
  </xdr:twoCellAnchor>
  <xdr:twoCellAnchor editAs="oneCell">
    <xdr:from>
      <xdr:col>3</xdr:col>
      <xdr:colOff>717177</xdr:colOff>
      <xdr:row>10</xdr:row>
      <xdr:rowOff>190500</xdr:rowOff>
    </xdr:from>
    <xdr:to>
      <xdr:col>6</xdr:col>
      <xdr:colOff>420221</xdr:colOff>
      <xdr:row>17</xdr:row>
      <xdr:rowOff>81163</xdr:rowOff>
    </xdr:to>
    <xdr:sp macro="[0]!Macro29" textlink="">
      <xdr:nvSpPr>
        <xdr:cNvPr id="31" name="payment"/>
        <xdr:cNvSpPr/>
      </xdr:nvSpPr>
      <xdr:spPr>
        <a:xfrm>
          <a:off x="717177" y="4347882"/>
          <a:ext cx="3714750" cy="132501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0" b="1"/>
            <a:t>SAVE</a:t>
          </a:r>
          <a:endParaRPr lang="en-US" sz="1800" b="1"/>
        </a:p>
      </xdr:txBody>
    </xdr:sp>
    <xdr:clientData/>
  </xdr:twoCellAnchor>
  <xdr:twoCellAnchor editAs="oneCell">
    <xdr:from>
      <xdr:col>6</xdr:col>
      <xdr:colOff>1299882</xdr:colOff>
      <xdr:row>10</xdr:row>
      <xdr:rowOff>201706</xdr:rowOff>
    </xdr:from>
    <xdr:to>
      <xdr:col>11</xdr:col>
      <xdr:colOff>425824</xdr:colOff>
      <xdr:row>17</xdr:row>
      <xdr:rowOff>170810</xdr:rowOff>
    </xdr:to>
    <xdr:sp macro="[0]!Macro30" textlink="">
      <xdr:nvSpPr>
        <xdr:cNvPr id="34" name="payment"/>
        <xdr:cNvSpPr/>
      </xdr:nvSpPr>
      <xdr:spPr>
        <a:xfrm>
          <a:off x="5311588" y="4359088"/>
          <a:ext cx="3597089" cy="14034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0" b="1"/>
            <a:t>NEXT</a:t>
          </a:r>
          <a:endParaRPr lang="en-US" sz="1800" b="1"/>
        </a:p>
      </xdr:txBody>
    </xdr:sp>
    <xdr:clientData/>
  </xdr:twoCellAnchor>
  <xdr:twoCellAnchor editAs="oneCell">
    <xdr:from>
      <xdr:col>12</xdr:col>
      <xdr:colOff>354105</xdr:colOff>
      <xdr:row>10</xdr:row>
      <xdr:rowOff>186016</xdr:rowOff>
    </xdr:from>
    <xdr:to>
      <xdr:col>17</xdr:col>
      <xdr:colOff>73959</xdr:colOff>
      <xdr:row>17</xdr:row>
      <xdr:rowOff>155120</xdr:rowOff>
    </xdr:to>
    <xdr:sp macro="[0]!'ITC FINAL LAB PROJECT.xlsm'" textlink="">
      <xdr:nvSpPr>
        <xdr:cNvPr id="35" name="payment">
          <a:hlinkClick xmlns:r="http://schemas.openxmlformats.org/officeDocument/2006/relationships" r:id="rId3"/>
        </xdr:cNvPr>
        <xdr:cNvSpPr/>
      </xdr:nvSpPr>
      <xdr:spPr>
        <a:xfrm>
          <a:off x="9442076" y="4343398"/>
          <a:ext cx="3597089" cy="14034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0" b="1"/>
            <a:t>RECIEPT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"/>
  <sheetViews>
    <sheetView showGridLines="0" workbookViewId="0">
      <selection sqref="A1:V4"/>
    </sheetView>
  </sheetViews>
  <sheetFormatPr defaultRowHeight="15" x14ac:dyDescent="0.25"/>
  <cols>
    <col min="1" max="16384" width="9.140625" style="1"/>
  </cols>
  <sheetData>
    <row r="1" spans="1:22" ht="15" customHeight="1" x14ac:dyDescent="0.25">
      <c r="A1" s="61" t="s">
        <v>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</row>
    <row r="2" spans="1:22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22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22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</row>
    <row r="5" spans="1:22" ht="30" customHeight="1" x14ac:dyDescent="0.25">
      <c r="A5" s="62" t="s">
        <v>1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</row>
  </sheetData>
  <mergeCells count="2">
    <mergeCell ref="A1:V4"/>
    <mergeCell ref="A5:V5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G11:AN37"/>
  <sheetViews>
    <sheetView topLeftCell="E1" zoomScale="85" zoomScaleNormal="85" workbookViewId="0">
      <selection activeCell="L14" sqref="L14"/>
    </sheetView>
  </sheetViews>
  <sheetFormatPr defaultRowHeight="15" x14ac:dyDescent="0.25"/>
  <cols>
    <col min="1" max="7" width="9.140625" style="3"/>
    <col min="8" max="8" width="14.140625" style="3" customWidth="1"/>
    <col min="9" max="9" width="18.7109375" style="3" customWidth="1"/>
    <col min="10" max="10" width="8.5703125" style="3" customWidth="1"/>
    <col min="11" max="12" width="7.5703125" style="3" customWidth="1"/>
    <col min="13" max="14" width="6.85546875" style="3" customWidth="1"/>
    <col min="15" max="16" width="7.28515625" style="3" customWidth="1"/>
    <col min="17" max="20" width="7.7109375" style="3" customWidth="1"/>
    <col min="21" max="24" width="8" style="3" customWidth="1"/>
    <col min="25" max="26" width="6.28515625" style="3" customWidth="1"/>
    <col min="27" max="28" width="9.85546875" style="3" customWidth="1"/>
    <col min="29" max="30" width="8.7109375" style="3" customWidth="1"/>
    <col min="31" max="32" width="8.85546875" style="3" customWidth="1"/>
    <col min="33" max="34" width="7.42578125" style="3" customWidth="1"/>
    <col min="35" max="16384" width="9.140625" style="3"/>
  </cols>
  <sheetData>
    <row r="11" spans="7:40" ht="54" customHeight="1" x14ac:dyDescent="0.25">
      <c r="G11" s="69" t="s">
        <v>3</v>
      </c>
      <c r="H11" s="69" t="s">
        <v>33</v>
      </c>
      <c r="I11" s="66" t="s">
        <v>70</v>
      </c>
      <c r="J11" s="72" t="s">
        <v>4</v>
      </c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63" t="s">
        <v>46</v>
      </c>
      <c r="AM11" s="63" t="s">
        <v>71</v>
      </c>
      <c r="AN11" s="63" t="s">
        <v>34</v>
      </c>
    </row>
    <row r="12" spans="7:40" ht="54" customHeight="1" x14ac:dyDescent="0.25">
      <c r="G12" s="70"/>
      <c r="H12" s="70"/>
      <c r="I12" s="67"/>
      <c r="J12" s="76" t="s">
        <v>28</v>
      </c>
      <c r="K12" s="74"/>
      <c r="L12" s="73" t="s">
        <v>16</v>
      </c>
      <c r="M12" s="74"/>
      <c r="N12" s="73" t="s">
        <v>35</v>
      </c>
      <c r="O12" s="74"/>
      <c r="P12" s="73" t="s">
        <v>17</v>
      </c>
      <c r="Q12" s="74"/>
      <c r="R12" s="73" t="s">
        <v>36</v>
      </c>
      <c r="S12" s="74"/>
      <c r="T12" s="73" t="s">
        <v>19</v>
      </c>
      <c r="U12" s="74"/>
      <c r="V12" s="73" t="s">
        <v>37</v>
      </c>
      <c r="W12" s="74"/>
      <c r="X12" s="73" t="s">
        <v>38</v>
      </c>
      <c r="Y12" s="74"/>
      <c r="Z12" s="73" t="s">
        <v>39</v>
      </c>
      <c r="AA12" s="74"/>
      <c r="AB12" s="73" t="s">
        <v>40</v>
      </c>
      <c r="AC12" s="74"/>
      <c r="AD12" s="73" t="s">
        <v>41</v>
      </c>
      <c r="AE12" s="74"/>
      <c r="AF12" s="73" t="s">
        <v>42</v>
      </c>
      <c r="AG12" s="74"/>
      <c r="AH12" s="73" t="s">
        <v>26</v>
      </c>
      <c r="AI12" s="74"/>
      <c r="AJ12" s="73" t="s">
        <v>43</v>
      </c>
      <c r="AK12" s="75"/>
      <c r="AL12" s="64"/>
      <c r="AM12" s="64"/>
      <c r="AN12" s="64"/>
    </row>
    <row r="13" spans="7:40" ht="54" customHeight="1" x14ac:dyDescent="0.25">
      <c r="G13" s="71"/>
      <c r="H13" s="71"/>
      <c r="I13" s="68"/>
      <c r="J13" s="51" t="s">
        <v>54</v>
      </c>
      <c r="K13" s="47" t="s">
        <v>55</v>
      </c>
      <c r="L13" s="51" t="s">
        <v>54</v>
      </c>
      <c r="M13" s="47" t="s">
        <v>55</v>
      </c>
      <c r="N13" s="51" t="s">
        <v>54</v>
      </c>
      <c r="O13" s="47" t="s">
        <v>55</v>
      </c>
      <c r="P13" s="51" t="s">
        <v>54</v>
      </c>
      <c r="Q13" s="47" t="s">
        <v>55</v>
      </c>
      <c r="R13" s="51" t="s">
        <v>54</v>
      </c>
      <c r="S13" s="47" t="s">
        <v>55</v>
      </c>
      <c r="T13" s="51" t="s">
        <v>54</v>
      </c>
      <c r="U13" s="47" t="s">
        <v>55</v>
      </c>
      <c r="V13" s="51" t="s">
        <v>54</v>
      </c>
      <c r="W13" s="47" t="s">
        <v>55</v>
      </c>
      <c r="X13" s="51" t="s">
        <v>54</v>
      </c>
      <c r="Y13" s="47" t="s">
        <v>55</v>
      </c>
      <c r="Z13" s="51" t="s">
        <v>54</v>
      </c>
      <c r="AA13" s="47" t="s">
        <v>55</v>
      </c>
      <c r="AB13" s="51" t="s">
        <v>54</v>
      </c>
      <c r="AC13" s="47" t="s">
        <v>55</v>
      </c>
      <c r="AD13" s="51" t="s">
        <v>54</v>
      </c>
      <c r="AE13" s="47" t="s">
        <v>55</v>
      </c>
      <c r="AF13" s="51" t="s">
        <v>54</v>
      </c>
      <c r="AG13" s="47" t="s">
        <v>55</v>
      </c>
      <c r="AH13" s="51" t="s">
        <v>54</v>
      </c>
      <c r="AI13" s="47" t="s">
        <v>55</v>
      </c>
      <c r="AJ13" s="51" t="s">
        <v>54</v>
      </c>
      <c r="AK13" s="48" t="s">
        <v>55</v>
      </c>
      <c r="AL13" s="65"/>
      <c r="AM13" s="65"/>
      <c r="AN13" s="65"/>
    </row>
    <row r="14" spans="7:40" x14ac:dyDescent="0.25">
      <c r="G14" s="38">
        <v>1</v>
      </c>
      <c r="H14" s="38" t="s">
        <v>65</v>
      </c>
      <c r="I14" s="38" t="s">
        <v>66</v>
      </c>
      <c r="J14" s="44">
        <v>5</v>
      </c>
      <c r="K14" s="44">
        <v>5</v>
      </c>
      <c r="L14" s="44">
        <v>5</v>
      </c>
      <c r="M14" s="44">
        <v>5</v>
      </c>
      <c r="N14" s="44">
        <v>6</v>
      </c>
      <c r="O14" s="44">
        <v>55</v>
      </c>
      <c r="P14" s="44"/>
      <c r="Q14" s="44">
        <v>30</v>
      </c>
      <c r="R14" s="44"/>
      <c r="S14" s="44">
        <v>35</v>
      </c>
      <c r="T14" s="44"/>
      <c r="U14" s="44">
        <v>30</v>
      </c>
      <c r="V14" s="44"/>
      <c r="W14" s="44">
        <v>15</v>
      </c>
      <c r="X14" s="44"/>
      <c r="Y14" s="44">
        <v>10</v>
      </c>
      <c r="Z14" s="44"/>
      <c r="AA14" s="44">
        <v>5</v>
      </c>
      <c r="AB14" s="44"/>
      <c r="AC14" s="44">
        <v>15</v>
      </c>
      <c r="AD14" s="44"/>
      <c r="AE14" s="44">
        <v>15</v>
      </c>
      <c r="AF14" s="44"/>
      <c r="AG14" s="44">
        <v>6</v>
      </c>
      <c r="AH14" s="44"/>
      <c r="AI14" s="44">
        <v>6</v>
      </c>
      <c r="AJ14" s="44"/>
      <c r="AK14" s="49">
        <v>6</v>
      </c>
      <c r="AL14" s="52">
        <f>(J14*K14)+(L14*M14)+(N14*O14)+(P14*Q14)+(R14*S14)+(T14*U14)+(V14*W14)+(X14*Y14)+(Z14*AA14)+(AB14*AC14)+(AD14*AE14)+(AF14*AG14)+(AH14*AI14)+(AJ14*AK14)</f>
        <v>380</v>
      </c>
      <c r="AM14" s="50" t="s">
        <v>71</v>
      </c>
      <c r="AN14" s="50"/>
    </row>
    <row r="15" spans="7:40" x14ac:dyDescent="0.25">
      <c r="G15" s="38">
        <v>2</v>
      </c>
      <c r="H15" s="38" t="s">
        <v>67</v>
      </c>
      <c r="I15" s="38" t="s">
        <v>68</v>
      </c>
      <c r="J15" s="38">
        <v>6</v>
      </c>
      <c r="K15" s="44">
        <v>5</v>
      </c>
      <c r="L15" s="38">
        <v>5</v>
      </c>
      <c r="M15" s="44">
        <v>5</v>
      </c>
      <c r="N15" s="38">
        <v>5</v>
      </c>
      <c r="O15" s="44">
        <v>55</v>
      </c>
      <c r="P15" s="38"/>
      <c r="Q15" s="44">
        <v>30</v>
      </c>
      <c r="R15" s="38"/>
      <c r="S15" s="44">
        <v>35</v>
      </c>
      <c r="T15" s="38">
        <v>4</v>
      </c>
      <c r="U15" s="44">
        <v>30</v>
      </c>
      <c r="V15" s="38"/>
      <c r="W15" s="44">
        <v>15</v>
      </c>
      <c r="X15" s="38"/>
      <c r="Y15" s="44">
        <v>10</v>
      </c>
      <c r="Z15" s="38"/>
      <c r="AA15" s="44">
        <v>5</v>
      </c>
      <c r="AB15" s="38">
        <v>4</v>
      </c>
      <c r="AC15" s="44">
        <v>15</v>
      </c>
      <c r="AD15" s="38"/>
      <c r="AE15" s="44">
        <v>15</v>
      </c>
      <c r="AF15" s="38"/>
      <c r="AG15" s="44">
        <v>6</v>
      </c>
      <c r="AH15" s="38">
        <v>4</v>
      </c>
      <c r="AI15" s="44">
        <v>6</v>
      </c>
      <c r="AJ15" s="38"/>
      <c r="AK15" s="49">
        <v>6</v>
      </c>
      <c r="AL15" s="52">
        <f t="shared" ref="AL15:AL22" si="0">(J15*K15)+(L15*M15)+(N15*O15)+(P15*Q15)+(R15*S15)+(T15*U15)+(V15*W15)+(X15*Y15)+(Z15*AA15)+(AB15*AC15)+(AD15*AE15)+(AF15*AG15)+(AH15*AI15)+(AJ15*AK15)</f>
        <v>534</v>
      </c>
      <c r="AM15" s="50" t="s">
        <v>72</v>
      </c>
      <c r="AN15" s="50"/>
    </row>
    <row r="16" spans="7:40" x14ac:dyDescent="0.25">
      <c r="G16" s="38"/>
      <c r="H16" s="38"/>
      <c r="I16" s="38"/>
      <c r="J16" s="38"/>
      <c r="K16" s="44">
        <v>5</v>
      </c>
      <c r="L16" s="38"/>
      <c r="M16" s="44">
        <v>5</v>
      </c>
      <c r="N16" s="38"/>
      <c r="O16" s="44">
        <v>55</v>
      </c>
      <c r="P16" s="38"/>
      <c r="Q16" s="44">
        <v>30</v>
      </c>
      <c r="R16" s="38"/>
      <c r="S16" s="44">
        <v>35</v>
      </c>
      <c r="T16" s="38"/>
      <c r="U16" s="44">
        <v>30</v>
      </c>
      <c r="V16" s="38"/>
      <c r="W16" s="44">
        <v>15</v>
      </c>
      <c r="X16" s="38"/>
      <c r="Y16" s="44">
        <v>10</v>
      </c>
      <c r="Z16" s="38"/>
      <c r="AA16" s="44">
        <v>5</v>
      </c>
      <c r="AB16" s="38"/>
      <c r="AC16" s="44">
        <v>15</v>
      </c>
      <c r="AD16" s="38"/>
      <c r="AE16" s="44">
        <v>15</v>
      </c>
      <c r="AF16" s="38"/>
      <c r="AG16" s="44">
        <v>6</v>
      </c>
      <c r="AH16" s="38"/>
      <c r="AI16" s="44">
        <v>6</v>
      </c>
      <c r="AJ16" s="38"/>
      <c r="AK16" s="49">
        <v>6</v>
      </c>
      <c r="AL16" s="52">
        <f t="shared" si="0"/>
        <v>0</v>
      </c>
      <c r="AM16" s="50"/>
      <c r="AN16" s="50"/>
    </row>
    <row r="17" spans="7:40" x14ac:dyDescent="0.25">
      <c r="G17" s="38"/>
      <c r="H17" s="38"/>
      <c r="I17" s="38"/>
      <c r="J17" s="38"/>
      <c r="K17" s="44">
        <v>5</v>
      </c>
      <c r="L17" s="38"/>
      <c r="M17" s="44">
        <v>5</v>
      </c>
      <c r="N17" s="38"/>
      <c r="O17" s="44">
        <v>55</v>
      </c>
      <c r="P17" s="38"/>
      <c r="Q17" s="44">
        <v>30</v>
      </c>
      <c r="R17" s="38"/>
      <c r="S17" s="44">
        <v>35</v>
      </c>
      <c r="T17" s="38"/>
      <c r="U17" s="44">
        <v>30</v>
      </c>
      <c r="V17" s="38"/>
      <c r="W17" s="44">
        <v>15</v>
      </c>
      <c r="X17" s="38"/>
      <c r="Y17" s="44">
        <v>10</v>
      </c>
      <c r="Z17" s="38"/>
      <c r="AA17" s="44">
        <v>5</v>
      </c>
      <c r="AB17" s="38"/>
      <c r="AC17" s="44">
        <v>15</v>
      </c>
      <c r="AD17" s="38"/>
      <c r="AE17" s="44">
        <v>15</v>
      </c>
      <c r="AF17" s="38"/>
      <c r="AG17" s="44">
        <v>6</v>
      </c>
      <c r="AH17" s="38"/>
      <c r="AI17" s="44">
        <v>6</v>
      </c>
      <c r="AJ17" s="38"/>
      <c r="AK17" s="49">
        <v>6</v>
      </c>
      <c r="AL17" s="52">
        <f t="shared" si="0"/>
        <v>0</v>
      </c>
      <c r="AM17" s="50"/>
      <c r="AN17" s="50"/>
    </row>
    <row r="18" spans="7:40" x14ac:dyDescent="0.25">
      <c r="G18" s="38"/>
      <c r="H18" s="38"/>
      <c r="I18" s="38"/>
      <c r="J18" s="38"/>
      <c r="K18" s="44">
        <v>5</v>
      </c>
      <c r="L18" s="38"/>
      <c r="M18" s="44">
        <v>5</v>
      </c>
      <c r="N18" s="38"/>
      <c r="O18" s="44">
        <v>55</v>
      </c>
      <c r="P18" s="38"/>
      <c r="Q18" s="44">
        <v>30</v>
      </c>
      <c r="R18" s="38"/>
      <c r="S18" s="44">
        <v>35</v>
      </c>
      <c r="T18" s="38"/>
      <c r="U18" s="44">
        <v>30</v>
      </c>
      <c r="V18" s="38"/>
      <c r="W18" s="44">
        <v>15</v>
      </c>
      <c r="X18" s="38"/>
      <c r="Y18" s="44">
        <v>10</v>
      </c>
      <c r="Z18" s="38"/>
      <c r="AA18" s="44">
        <v>5</v>
      </c>
      <c r="AB18" s="38"/>
      <c r="AC18" s="44">
        <v>15</v>
      </c>
      <c r="AD18" s="38"/>
      <c r="AE18" s="44">
        <v>15</v>
      </c>
      <c r="AF18" s="38"/>
      <c r="AG18" s="44">
        <v>6</v>
      </c>
      <c r="AH18" s="38"/>
      <c r="AI18" s="44">
        <v>6</v>
      </c>
      <c r="AJ18" s="38"/>
      <c r="AK18" s="49">
        <v>6</v>
      </c>
      <c r="AL18" s="52">
        <f t="shared" si="0"/>
        <v>0</v>
      </c>
      <c r="AM18" s="50"/>
      <c r="AN18" s="50"/>
    </row>
    <row r="19" spans="7:40" x14ac:dyDescent="0.25">
      <c r="G19" s="38"/>
      <c r="H19" s="38"/>
      <c r="I19" s="38"/>
      <c r="J19" s="38"/>
      <c r="K19" s="44">
        <v>5</v>
      </c>
      <c r="L19" s="38"/>
      <c r="M19" s="44">
        <v>5</v>
      </c>
      <c r="N19" s="38"/>
      <c r="O19" s="44">
        <v>55</v>
      </c>
      <c r="P19" s="38"/>
      <c r="Q19" s="44">
        <v>30</v>
      </c>
      <c r="R19" s="38"/>
      <c r="S19" s="44">
        <v>35</v>
      </c>
      <c r="T19" s="38"/>
      <c r="U19" s="44">
        <v>30</v>
      </c>
      <c r="V19" s="38"/>
      <c r="W19" s="44">
        <v>15</v>
      </c>
      <c r="X19" s="38"/>
      <c r="Y19" s="44">
        <v>10</v>
      </c>
      <c r="Z19" s="38"/>
      <c r="AA19" s="44">
        <v>5</v>
      </c>
      <c r="AB19" s="38"/>
      <c r="AC19" s="44">
        <v>15</v>
      </c>
      <c r="AD19" s="38"/>
      <c r="AE19" s="44">
        <v>15</v>
      </c>
      <c r="AF19" s="38"/>
      <c r="AG19" s="44">
        <v>6</v>
      </c>
      <c r="AH19" s="38"/>
      <c r="AI19" s="44">
        <v>6</v>
      </c>
      <c r="AJ19" s="38"/>
      <c r="AK19" s="49">
        <v>6</v>
      </c>
      <c r="AL19" s="52">
        <f t="shared" si="0"/>
        <v>0</v>
      </c>
      <c r="AM19" s="50"/>
      <c r="AN19" s="50"/>
    </row>
    <row r="20" spans="7:40" x14ac:dyDescent="0.25"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46"/>
      <c r="AL20" s="52">
        <f t="shared" si="0"/>
        <v>0</v>
      </c>
      <c r="AM20" s="50"/>
      <c r="AN20" s="50"/>
    </row>
    <row r="21" spans="7:40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46"/>
      <c r="AL21" s="52">
        <f t="shared" si="0"/>
        <v>0</v>
      </c>
      <c r="AM21" s="50"/>
      <c r="AN21" s="50"/>
    </row>
    <row r="22" spans="7:40" x14ac:dyDescent="0.25"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46"/>
      <c r="AL22" s="52">
        <f t="shared" si="0"/>
        <v>0</v>
      </c>
      <c r="AM22" s="50"/>
      <c r="AN22" s="50"/>
    </row>
    <row r="23" spans="7:40" x14ac:dyDescent="0.25"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46"/>
      <c r="AL23" s="52">
        <f>(J23*K23)+(L23*M23)+(N23*O23)+(P23*Q23)+(R23*S23)+(T23*U23)+(V23*W23)+(X23*Y23)+(Z23*AA23)+(AB23*AC23)+(AD23*AE23)+(AF23*AG23)+(AH23*AI23)+(AJ23*AK23)</f>
        <v>0</v>
      </c>
      <c r="AM23" s="50"/>
      <c r="AN23" s="50"/>
    </row>
    <row r="24" spans="7:40" x14ac:dyDescent="0.25"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46"/>
      <c r="AL24" s="50"/>
      <c r="AM24" s="50"/>
      <c r="AN24" s="50"/>
    </row>
    <row r="25" spans="7:40" x14ac:dyDescent="0.25"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46"/>
      <c r="AL25" s="50"/>
      <c r="AM25" s="50"/>
      <c r="AN25" s="50"/>
    </row>
    <row r="26" spans="7:40" x14ac:dyDescent="0.25"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46"/>
      <c r="AL26" s="50"/>
      <c r="AM26" s="50"/>
      <c r="AN26" s="50"/>
    </row>
    <row r="27" spans="7:40" x14ac:dyDescent="0.25"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46"/>
      <c r="AL27" s="50"/>
      <c r="AM27" s="50"/>
      <c r="AN27" s="50"/>
    </row>
    <row r="28" spans="7:40" x14ac:dyDescent="0.25"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46"/>
      <c r="AL28" s="50"/>
      <c r="AM28" s="50"/>
      <c r="AN28" s="50"/>
    </row>
    <row r="29" spans="7:40" x14ac:dyDescent="0.25"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46"/>
      <c r="AL29" s="50"/>
      <c r="AM29" s="50"/>
      <c r="AN29" s="50"/>
    </row>
    <row r="30" spans="7:40" x14ac:dyDescent="0.25"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46"/>
      <c r="AL30" s="50"/>
      <c r="AM30" s="50"/>
      <c r="AN30" s="50"/>
    </row>
    <row r="31" spans="7:40" x14ac:dyDescent="0.25"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46"/>
      <c r="AL31" s="50"/>
      <c r="AM31" s="50"/>
      <c r="AN31" s="50"/>
    </row>
    <row r="32" spans="7:40" x14ac:dyDescent="0.25"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46"/>
      <c r="AL32" s="50"/>
      <c r="AM32" s="50"/>
      <c r="AN32" s="50"/>
    </row>
    <row r="33" spans="7:40" x14ac:dyDescent="0.25"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46"/>
      <c r="AL33" s="50"/>
      <c r="AM33" s="50"/>
      <c r="AN33" s="50"/>
    </row>
    <row r="34" spans="7:40" x14ac:dyDescent="0.25"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46"/>
      <c r="AL34" s="50"/>
      <c r="AM34" s="50"/>
      <c r="AN34" s="50"/>
    </row>
    <row r="35" spans="7:40" x14ac:dyDescent="0.25"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46"/>
      <c r="AL35" s="50"/>
      <c r="AM35" s="50"/>
      <c r="AN35" s="50"/>
    </row>
    <row r="36" spans="7:40" x14ac:dyDescent="0.25"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46"/>
      <c r="AL36" s="50"/>
      <c r="AM36" s="50"/>
      <c r="AN36" s="50"/>
    </row>
    <row r="37" spans="7:40" x14ac:dyDescent="0.25">
      <c r="G37" s="38"/>
      <c r="H37" s="38"/>
      <c r="I37" s="38"/>
      <c r="J37" s="45"/>
      <c r="Y37" s="38"/>
      <c r="Z37" s="38"/>
      <c r="AA37" s="38"/>
      <c r="AB37" s="38"/>
      <c r="AC37" s="38"/>
      <c r="AD37" s="38"/>
      <c r="AE37" s="38"/>
      <c r="AF37" s="45"/>
    </row>
  </sheetData>
  <mergeCells count="21">
    <mergeCell ref="X12:Y12"/>
    <mergeCell ref="Z12:AA12"/>
    <mergeCell ref="J12:K12"/>
    <mergeCell ref="L12:M12"/>
    <mergeCell ref="N12:O12"/>
    <mergeCell ref="AM11:AM13"/>
    <mergeCell ref="AN11:AN13"/>
    <mergeCell ref="I11:I13"/>
    <mergeCell ref="H11:H13"/>
    <mergeCell ref="G11:G13"/>
    <mergeCell ref="J11:AK11"/>
    <mergeCell ref="AB12:AC12"/>
    <mergeCell ref="AD12:AE12"/>
    <mergeCell ref="AF12:AG12"/>
    <mergeCell ref="AH12:AI12"/>
    <mergeCell ref="AJ12:AK12"/>
    <mergeCell ref="AL11:AL13"/>
    <mergeCell ref="P12:Q12"/>
    <mergeCell ref="R12:S12"/>
    <mergeCell ref="T12:U12"/>
    <mergeCell ref="V12:W1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18:W42"/>
  <sheetViews>
    <sheetView topLeftCell="F10" zoomScale="80" zoomScaleNormal="80" workbookViewId="0">
      <selection activeCell="N21" sqref="N21"/>
    </sheetView>
  </sheetViews>
  <sheetFormatPr defaultRowHeight="15" x14ac:dyDescent="0.25"/>
  <cols>
    <col min="1" max="3" width="9.140625" style="3"/>
    <col min="4" max="4" width="8.140625" style="3" customWidth="1"/>
    <col min="5" max="5" width="20" style="3" customWidth="1"/>
    <col min="6" max="9" width="16.5703125" style="3" customWidth="1"/>
    <col min="10" max="10" width="7.5703125" style="3" customWidth="1"/>
    <col min="11" max="11" width="14.140625" style="3" customWidth="1"/>
    <col min="12" max="12" width="19" style="3" customWidth="1"/>
    <col min="13" max="13" width="14.140625" style="3" customWidth="1"/>
    <col min="14" max="14" width="14.85546875" style="3" customWidth="1"/>
    <col min="15" max="15" width="13.42578125" style="3" customWidth="1"/>
    <col min="16" max="16" width="18.7109375" style="3" customWidth="1"/>
    <col min="17" max="17" width="9.5703125" style="3" customWidth="1"/>
    <col min="18" max="18" width="16" style="3" customWidth="1"/>
    <col min="19" max="20" width="19.28515625" style="3" customWidth="1"/>
    <col min="21" max="21" width="15.140625" style="3" customWidth="1"/>
    <col min="22" max="22" width="12.42578125" style="3" customWidth="1"/>
    <col min="23" max="23" width="17.85546875" style="3" customWidth="1"/>
    <col min="24" max="16384" width="9.140625" style="3"/>
  </cols>
  <sheetData>
    <row r="18" spans="4:23" ht="54" customHeight="1" x14ac:dyDescent="0.25">
      <c r="D18" s="77" t="s">
        <v>5</v>
      </c>
      <c r="E18" s="78"/>
      <c r="F18" s="78"/>
      <c r="G18" s="78"/>
      <c r="H18" s="78"/>
      <c r="I18" s="78"/>
      <c r="K18" s="79" t="s">
        <v>6</v>
      </c>
      <c r="L18" s="80"/>
      <c r="M18" s="80"/>
      <c r="N18" s="80"/>
      <c r="O18" s="80"/>
      <c r="P18" s="80"/>
      <c r="R18" s="81" t="s">
        <v>7</v>
      </c>
      <c r="S18" s="82"/>
      <c r="T18" s="82"/>
      <c r="U18" s="82"/>
      <c r="V18" s="82"/>
      <c r="W18" s="83"/>
    </row>
    <row r="19" spans="4:23" ht="42" x14ac:dyDescent="0.25">
      <c r="D19" s="10" t="s">
        <v>8</v>
      </c>
      <c r="E19" s="10" t="s">
        <v>2</v>
      </c>
      <c r="F19" s="10" t="s">
        <v>9</v>
      </c>
      <c r="G19" s="11" t="s">
        <v>10</v>
      </c>
      <c r="H19" s="12" t="s">
        <v>30</v>
      </c>
      <c r="I19" s="10" t="s">
        <v>31</v>
      </c>
      <c r="K19" s="10" t="s">
        <v>11</v>
      </c>
      <c r="L19" s="10" t="s">
        <v>2</v>
      </c>
      <c r="M19" s="10" t="s">
        <v>12</v>
      </c>
      <c r="N19" s="10" t="s">
        <v>10</v>
      </c>
      <c r="O19" s="18" t="s">
        <v>30</v>
      </c>
      <c r="P19" s="18" t="s">
        <v>31</v>
      </c>
      <c r="R19" s="10" t="s">
        <v>9</v>
      </c>
      <c r="S19" s="10" t="s">
        <v>10</v>
      </c>
      <c r="T19" s="12" t="s">
        <v>31</v>
      </c>
      <c r="U19" s="10" t="s">
        <v>13</v>
      </c>
      <c r="V19" s="11" t="s">
        <v>14</v>
      </c>
      <c r="W19" s="10" t="s">
        <v>32</v>
      </c>
    </row>
    <row r="20" spans="4:23" ht="42" x14ac:dyDescent="0.25">
      <c r="D20" s="13">
        <v>1</v>
      </c>
      <c r="E20" s="14">
        <v>44192</v>
      </c>
      <c r="F20" s="13" t="s">
        <v>15</v>
      </c>
      <c r="G20" s="15">
        <v>100</v>
      </c>
      <c r="H20" s="16">
        <v>3</v>
      </c>
      <c r="I20" s="17">
        <f>(G20*H20)</f>
        <v>300</v>
      </c>
      <c r="K20" s="13">
        <v>1</v>
      </c>
      <c r="L20" s="14">
        <v>44192</v>
      </c>
      <c r="M20" s="13" t="s">
        <v>15</v>
      </c>
      <c r="N20" s="13">
        <v>80</v>
      </c>
      <c r="O20" s="16">
        <v>5</v>
      </c>
      <c r="P20" s="16">
        <f t="shared" ref="P20:P33" si="0">(N20*O20)</f>
        <v>400</v>
      </c>
      <c r="R20" s="13" t="s">
        <v>15</v>
      </c>
      <c r="S20" s="13">
        <f t="shared" ref="S20:S33" si="1">SUMIF($F$20:$F$33,R20,$G$20:$G$33)-SUMIF($M$20:$M$33,R20,$N$20:$N$33)</f>
        <v>20</v>
      </c>
      <c r="T20" s="17">
        <f>(S20*H20)</f>
        <v>60</v>
      </c>
      <c r="U20" s="13">
        <v>30</v>
      </c>
      <c r="V20" s="15" t="str">
        <f t="shared" ref="V20:V33" si="2">IF(S20&lt;=U20,"ALERT!!","")</f>
        <v>ALERT!!</v>
      </c>
      <c r="W20" s="19">
        <f>P20-I20</f>
        <v>100</v>
      </c>
    </row>
    <row r="21" spans="4:23" ht="42" x14ac:dyDescent="0.25">
      <c r="D21" s="13">
        <v>2</v>
      </c>
      <c r="E21" s="14">
        <v>44192</v>
      </c>
      <c r="F21" s="13" t="s">
        <v>16</v>
      </c>
      <c r="G21" s="15">
        <v>100</v>
      </c>
      <c r="H21" s="16">
        <v>3</v>
      </c>
      <c r="I21" s="17">
        <f t="shared" ref="I21:I33" si="3">(G21*H21)</f>
        <v>300</v>
      </c>
      <c r="K21" s="13">
        <v>2</v>
      </c>
      <c r="L21" s="14">
        <v>44192</v>
      </c>
      <c r="M21" s="13" t="s">
        <v>16</v>
      </c>
      <c r="N21" s="13">
        <v>10</v>
      </c>
      <c r="O21" s="16">
        <v>5</v>
      </c>
      <c r="P21" s="16">
        <f t="shared" si="0"/>
        <v>50</v>
      </c>
      <c r="R21" s="13" t="s">
        <v>16</v>
      </c>
      <c r="S21" s="13">
        <f t="shared" si="1"/>
        <v>90</v>
      </c>
      <c r="T21" s="17">
        <f t="shared" ref="T21:T33" si="4">(S21*H21)</f>
        <v>270</v>
      </c>
      <c r="U21" s="13">
        <v>30</v>
      </c>
      <c r="V21" s="15" t="str">
        <f t="shared" si="2"/>
        <v/>
      </c>
      <c r="W21" s="19">
        <f t="shared" ref="W21:W42" si="5">P21-I21</f>
        <v>-250</v>
      </c>
    </row>
    <row r="22" spans="4:23" ht="21" x14ac:dyDescent="0.25">
      <c r="D22" s="13">
        <v>3</v>
      </c>
      <c r="E22" s="14">
        <v>44192</v>
      </c>
      <c r="F22" s="13" t="s">
        <v>29</v>
      </c>
      <c r="G22" s="15">
        <v>150</v>
      </c>
      <c r="H22" s="16">
        <v>55</v>
      </c>
      <c r="I22" s="17">
        <f t="shared" si="3"/>
        <v>8250</v>
      </c>
      <c r="K22" s="13">
        <v>3</v>
      </c>
      <c r="L22" s="14">
        <v>44192</v>
      </c>
      <c r="M22" s="13" t="s">
        <v>29</v>
      </c>
      <c r="N22" s="13">
        <v>20</v>
      </c>
      <c r="O22" s="16">
        <v>60</v>
      </c>
      <c r="P22" s="16">
        <f t="shared" si="0"/>
        <v>1200</v>
      </c>
      <c r="R22" s="13" t="s">
        <v>29</v>
      </c>
      <c r="S22" s="13">
        <f t="shared" si="1"/>
        <v>130</v>
      </c>
      <c r="T22" s="17">
        <f>(S22*H22)</f>
        <v>7150</v>
      </c>
      <c r="U22" s="13">
        <v>20</v>
      </c>
      <c r="V22" s="15" t="str">
        <f t="shared" si="2"/>
        <v/>
      </c>
      <c r="W22" s="19">
        <f t="shared" si="5"/>
        <v>-7050</v>
      </c>
    </row>
    <row r="23" spans="4:23" ht="42" x14ac:dyDescent="0.25">
      <c r="D23" s="13">
        <v>4</v>
      </c>
      <c r="E23" s="14">
        <v>44192</v>
      </c>
      <c r="F23" s="13" t="s">
        <v>17</v>
      </c>
      <c r="G23" s="15">
        <v>250</v>
      </c>
      <c r="H23" s="16">
        <v>25</v>
      </c>
      <c r="I23" s="17">
        <f t="shared" si="3"/>
        <v>6250</v>
      </c>
      <c r="K23" s="13">
        <v>4</v>
      </c>
      <c r="L23" s="14">
        <v>44192</v>
      </c>
      <c r="M23" s="13" t="s">
        <v>17</v>
      </c>
      <c r="N23" s="13">
        <v>150</v>
      </c>
      <c r="O23" s="16">
        <v>30</v>
      </c>
      <c r="P23" s="16">
        <f t="shared" si="0"/>
        <v>4500</v>
      </c>
      <c r="R23" s="13" t="s">
        <v>17</v>
      </c>
      <c r="S23" s="13">
        <f t="shared" si="1"/>
        <v>100</v>
      </c>
      <c r="T23" s="17">
        <f t="shared" si="4"/>
        <v>2500</v>
      </c>
      <c r="U23" s="13">
        <v>50</v>
      </c>
      <c r="V23" s="15" t="str">
        <f t="shared" si="2"/>
        <v/>
      </c>
      <c r="W23" s="19">
        <f t="shared" si="5"/>
        <v>-1750</v>
      </c>
    </row>
    <row r="24" spans="4:23" ht="63" x14ac:dyDescent="0.25">
      <c r="D24" s="13">
        <v>5</v>
      </c>
      <c r="E24" s="14">
        <v>44192</v>
      </c>
      <c r="F24" s="13" t="s">
        <v>18</v>
      </c>
      <c r="G24" s="15">
        <v>50</v>
      </c>
      <c r="H24" s="16">
        <v>30</v>
      </c>
      <c r="I24" s="17">
        <f t="shared" si="3"/>
        <v>1500</v>
      </c>
      <c r="K24" s="13">
        <v>5</v>
      </c>
      <c r="L24" s="14">
        <v>44192</v>
      </c>
      <c r="M24" s="13" t="s">
        <v>18</v>
      </c>
      <c r="N24" s="13">
        <v>40</v>
      </c>
      <c r="O24" s="16">
        <v>35</v>
      </c>
      <c r="P24" s="16">
        <f t="shared" si="0"/>
        <v>1400</v>
      </c>
      <c r="R24" s="13" t="s">
        <v>18</v>
      </c>
      <c r="S24" s="13">
        <f t="shared" si="1"/>
        <v>10</v>
      </c>
      <c r="T24" s="17">
        <f t="shared" si="4"/>
        <v>300</v>
      </c>
      <c r="U24" s="13">
        <v>10</v>
      </c>
      <c r="V24" s="15" t="str">
        <f t="shared" si="2"/>
        <v>ALERT!!</v>
      </c>
      <c r="W24" s="19">
        <f t="shared" si="5"/>
        <v>-100</v>
      </c>
    </row>
    <row r="25" spans="4:23" ht="42" x14ac:dyDescent="0.25">
      <c r="D25" s="13">
        <v>6</v>
      </c>
      <c r="E25" s="14">
        <v>44192</v>
      </c>
      <c r="F25" s="13" t="s">
        <v>19</v>
      </c>
      <c r="G25" s="15">
        <v>100</v>
      </c>
      <c r="H25" s="16">
        <v>25</v>
      </c>
      <c r="I25" s="17">
        <f t="shared" si="3"/>
        <v>2500</v>
      </c>
      <c r="K25" s="13">
        <v>6</v>
      </c>
      <c r="L25" s="14">
        <v>44192</v>
      </c>
      <c r="M25" s="13" t="s">
        <v>19</v>
      </c>
      <c r="N25" s="13">
        <v>70</v>
      </c>
      <c r="O25" s="16">
        <v>30</v>
      </c>
      <c r="P25" s="16">
        <f t="shared" si="0"/>
        <v>2100</v>
      </c>
      <c r="R25" s="13" t="s">
        <v>19</v>
      </c>
      <c r="S25" s="13">
        <f t="shared" si="1"/>
        <v>30</v>
      </c>
      <c r="T25" s="17">
        <f t="shared" si="4"/>
        <v>750</v>
      </c>
      <c r="U25" s="13">
        <v>20</v>
      </c>
      <c r="V25" s="15" t="str">
        <f t="shared" si="2"/>
        <v/>
      </c>
      <c r="W25" s="19">
        <f t="shared" si="5"/>
        <v>-400</v>
      </c>
    </row>
    <row r="26" spans="4:23" ht="21" x14ac:dyDescent="0.25">
      <c r="D26" s="13">
        <v>7</v>
      </c>
      <c r="E26" s="14">
        <v>44192</v>
      </c>
      <c r="F26" s="13" t="s">
        <v>20</v>
      </c>
      <c r="G26" s="15">
        <v>50</v>
      </c>
      <c r="H26" s="16">
        <v>10</v>
      </c>
      <c r="I26" s="17">
        <f t="shared" si="3"/>
        <v>500</v>
      </c>
      <c r="K26" s="13">
        <v>7</v>
      </c>
      <c r="L26" s="14">
        <v>44192</v>
      </c>
      <c r="M26" s="13" t="s">
        <v>20</v>
      </c>
      <c r="N26" s="13">
        <v>40</v>
      </c>
      <c r="O26" s="16">
        <v>15</v>
      </c>
      <c r="P26" s="16">
        <f t="shared" si="0"/>
        <v>600</v>
      </c>
      <c r="R26" s="13" t="s">
        <v>20</v>
      </c>
      <c r="S26" s="13">
        <f t="shared" si="1"/>
        <v>10</v>
      </c>
      <c r="T26" s="17">
        <f t="shared" si="4"/>
        <v>100</v>
      </c>
      <c r="U26" s="13">
        <v>15</v>
      </c>
      <c r="V26" s="15" t="str">
        <f t="shared" si="2"/>
        <v>ALERT!!</v>
      </c>
      <c r="W26" s="19">
        <f t="shared" si="5"/>
        <v>100</v>
      </c>
    </row>
    <row r="27" spans="4:23" ht="42" x14ac:dyDescent="0.25">
      <c r="D27" s="13">
        <v>8</v>
      </c>
      <c r="E27" s="14">
        <v>44192</v>
      </c>
      <c r="F27" s="13" t="s">
        <v>21</v>
      </c>
      <c r="G27" s="15">
        <v>100</v>
      </c>
      <c r="H27" s="16">
        <v>5</v>
      </c>
      <c r="I27" s="17">
        <f t="shared" si="3"/>
        <v>500</v>
      </c>
      <c r="K27" s="13">
        <v>8</v>
      </c>
      <c r="L27" s="14">
        <v>44192</v>
      </c>
      <c r="M27" s="13" t="s">
        <v>21</v>
      </c>
      <c r="N27" s="13">
        <v>50</v>
      </c>
      <c r="O27" s="16">
        <v>10</v>
      </c>
      <c r="P27" s="16">
        <f t="shared" si="0"/>
        <v>500</v>
      </c>
      <c r="R27" s="13" t="s">
        <v>21</v>
      </c>
      <c r="S27" s="13">
        <f t="shared" si="1"/>
        <v>50</v>
      </c>
      <c r="T27" s="17">
        <f t="shared" si="4"/>
        <v>250</v>
      </c>
      <c r="U27" s="13">
        <v>20</v>
      </c>
      <c r="V27" s="15" t="str">
        <f t="shared" si="2"/>
        <v/>
      </c>
      <c r="W27" s="19">
        <f t="shared" si="5"/>
        <v>0</v>
      </c>
    </row>
    <row r="28" spans="4:23" ht="42" x14ac:dyDescent="0.25">
      <c r="D28" s="13">
        <v>9</v>
      </c>
      <c r="E28" s="14">
        <v>44192</v>
      </c>
      <c r="F28" s="13" t="s">
        <v>22</v>
      </c>
      <c r="G28" s="15">
        <v>500</v>
      </c>
      <c r="H28" s="16">
        <v>2</v>
      </c>
      <c r="I28" s="17">
        <f t="shared" si="3"/>
        <v>1000</v>
      </c>
      <c r="K28" s="13">
        <v>9</v>
      </c>
      <c r="L28" s="14">
        <v>44192</v>
      </c>
      <c r="M28" s="13" t="s">
        <v>22</v>
      </c>
      <c r="N28" s="13">
        <v>300</v>
      </c>
      <c r="O28" s="16">
        <v>5</v>
      </c>
      <c r="P28" s="16">
        <f t="shared" si="0"/>
        <v>1500</v>
      </c>
      <c r="R28" s="13" t="s">
        <v>22</v>
      </c>
      <c r="S28" s="13">
        <f t="shared" si="1"/>
        <v>200</v>
      </c>
      <c r="T28" s="17">
        <f t="shared" si="4"/>
        <v>400</v>
      </c>
      <c r="U28" s="13">
        <v>50</v>
      </c>
      <c r="V28" s="15" t="str">
        <f t="shared" si="2"/>
        <v/>
      </c>
      <c r="W28" s="19">
        <f t="shared" si="5"/>
        <v>500</v>
      </c>
    </row>
    <row r="29" spans="4:23" ht="21" x14ac:dyDescent="0.25">
      <c r="D29" s="13">
        <v>10</v>
      </c>
      <c r="E29" s="14">
        <v>44192</v>
      </c>
      <c r="F29" s="13" t="s">
        <v>23</v>
      </c>
      <c r="G29" s="15">
        <v>100</v>
      </c>
      <c r="H29" s="16">
        <v>10</v>
      </c>
      <c r="I29" s="17">
        <f t="shared" si="3"/>
        <v>1000</v>
      </c>
      <c r="K29" s="13">
        <v>10</v>
      </c>
      <c r="L29" s="14">
        <v>44192</v>
      </c>
      <c r="M29" s="13" t="s">
        <v>23</v>
      </c>
      <c r="N29" s="13">
        <v>30</v>
      </c>
      <c r="O29" s="16">
        <v>15</v>
      </c>
      <c r="P29" s="16">
        <f t="shared" si="0"/>
        <v>450</v>
      </c>
      <c r="R29" s="13" t="s">
        <v>23</v>
      </c>
      <c r="S29" s="13">
        <f t="shared" si="1"/>
        <v>70</v>
      </c>
      <c r="T29" s="17">
        <f t="shared" si="4"/>
        <v>700</v>
      </c>
      <c r="U29" s="13">
        <v>15</v>
      </c>
      <c r="V29" s="15" t="str">
        <f t="shared" si="2"/>
        <v/>
      </c>
      <c r="W29" s="19">
        <f t="shared" si="5"/>
        <v>-550</v>
      </c>
    </row>
    <row r="30" spans="4:23" ht="42" x14ac:dyDescent="0.25">
      <c r="D30" s="13">
        <v>11</v>
      </c>
      <c r="E30" s="14">
        <v>44192</v>
      </c>
      <c r="F30" s="13" t="s">
        <v>24</v>
      </c>
      <c r="G30" s="15">
        <v>100</v>
      </c>
      <c r="H30" s="16">
        <v>10</v>
      </c>
      <c r="I30" s="17">
        <f t="shared" si="3"/>
        <v>1000</v>
      </c>
      <c r="K30" s="13">
        <v>11</v>
      </c>
      <c r="L30" s="14">
        <v>44192</v>
      </c>
      <c r="M30" s="13" t="s">
        <v>24</v>
      </c>
      <c r="N30" s="13">
        <v>40</v>
      </c>
      <c r="O30" s="16">
        <v>15</v>
      </c>
      <c r="P30" s="16">
        <f t="shared" si="0"/>
        <v>600</v>
      </c>
      <c r="R30" s="13" t="s">
        <v>24</v>
      </c>
      <c r="S30" s="13">
        <f t="shared" si="1"/>
        <v>60</v>
      </c>
      <c r="T30" s="17">
        <f t="shared" si="4"/>
        <v>600</v>
      </c>
      <c r="U30" s="13">
        <v>15</v>
      </c>
      <c r="V30" s="15" t="str">
        <f t="shared" si="2"/>
        <v/>
      </c>
      <c r="W30" s="19">
        <f t="shared" si="5"/>
        <v>-400</v>
      </c>
    </row>
    <row r="31" spans="4:23" ht="42" x14ac:dyDescent="0.25">
      <c r="D31" s="13">
        <v>12</v>
      </c>
      <c r="E31" s="14">
        <v>44192</v>
      </c>
      <c r="F31" s="13" t="s">
        <v>25</v>
      </c>
      <c r="G31" s="15">
        <v>50</v>
      </c>
      <c r="H31" s="16">
        <v>4</v>
      </c>
      <c r="I31" s="17">
        <f t="shared" si="3"/>
        <v>200</v>
      </c>
      <c r="K31" s="13">
        <v>12</v>
      </c>
      <c r="L31" s="14">
        <v>44192</v>
      </c>
      <c r="M31" s="13" t="s">
        <v>25</v>
      </c>
      <c r="N31" s="13">
        <v>40</v>
      </c>
      <c r="O31" s="16">
        <v>6</v>
      </c>
      <c r="P31" s="16">
        <f t="shared" si="0"/>
        <v>240</v>
      </c>
      <c r="R31" s="13" t="s">
        <v>25</v>
      </c>
      <c r="S31" s="13">
        <f t="shared" si="1"/>
        <v>10</v>
      </c>
      <c r="T31" s="17">
        <f t="shared" si="4"/>
        <v>40</v>
      </c>
      <c r="U31" s="13">
        <v>20</v>
      </c>
      <c r="V31" s="15" t="str">
        <f t="shared" si="2"/>
        <v>ALERT!!</v>
      </c>
      <c r="W31" s="19">
        <f t="shared" si="5"/>
        <v>40</v>
      </c>
    </row>
    <row r="32" spans="4:23" ht="42" x14ac:dyDescent="0.25">
      <c r="D32" s="13">
        <v>13</v>
      </c>
      <c r="E32" s="14">
        <v>44192</v>
      </c>
      <c r="F32" s="13" t="s">
        <v>26</v>
      </c>
      <c r="G32" s="15">
        <v>50</v>
      </c>
      <c r="H32" s="16">
        <v>4</v>
      </c>
      <c r="I32" s="17">
        <f t="shared" si="3"/>
        <v>200</v>
      </c>
      <c r="K32" s="13">
        <v>13</v>
      </c>
      <c r="L32" s="14">
        <v>44192</v>
      </c>
      <c r="M32" s="13" t="s">
        <v>26</v>
      </c>
      <c r="N32" s="13">
        <v>30</v>
      </c>
      <c r="O32" s="16">
        <v>6</v>
      </c>
      <c r="P32" s="16">
        <f t="shared" si="0"/>
        <v>180</v>
      </c>
      <c r="R32" s="13" t="s">
        <v>26</v>
      </c>
      <c r="S32" s="13">
        <f t="shared" si="1"/>
        <v>20</v>
      </c>
      <c r="T32" s="17">
        <f t="shared" si="4"/>
        <v>80</v>
      </c>
      <c r="U32" s="13">
        <v>20</v>
      </c>
      <c r="V32" s="15" t="str">
        <f t="shared" si="2"/>
        <v>ALERT!!</v>
      </c>
      <c r="W32" s="19">
        <f t="shared" si="5"/>
        <v>-20</v>
      </c>
    </row>
    <row r="33" spans="4:23" ht="42" x14ac:dyDescent="0.25">
      <c r="D33" s="13">
        <v>14</v>
      </c>
      <c r="E33" s="14">
        <v>44192</v>
      </c>
      <c r="F33" s="13" t="s">
        <v>27</v>
      </c>
      <c r="G33" s="15">
        <v>80</v>
      </c>
      <c r="H33" s="16">
        <v>3</v>
      </c>
      <c r="I33" s="17">
        <f t="shared" si="3"/>
        <v>240</v>
      </c>
      <c r="K33" s="13">
        <v>14</v>
      </c>
      <c r="L33" s="14">
        <v>44192</v>
      </c>
      <c r="M33" s="13" t="s">
        <v>27</v>
      </c>
      <c r="N33" s="13">
        <v>65</v>
      </c>
      <c r="O33" s="16">
        <v>6</v>
      </c>
      <c r="P33" s="16">
        <f t="shared" si="0"/>
        <v>390</v>
      </c>
      <c r="R33" s="13" t="s">
        <v>27</v>
      </c>
      <c r="S33" s="13">
        <f t="shared" si="1"/>
        <v>15</v>
      </c>
      <c r="T33" s="17">
        <f t="shared" si="4"/>
        <v>45</v>
      </c>
      <c r="U33" s="13">
        <v>20</v>
      </c>
      <c r="V33" s="15" t="str">
        <f t="shared" si="2"/>
        <v>ALERT!!</v>
      </c>
      <c r="W33" s="19">
        <f t="shared" si="5"/>
        <v>150</v>
      </c>
    </row>
    <row r="34" spans="4:23" ht="21" x14ac:dyDescent="0.25">
      <c r="D34" s="5"/>
      <c r="E34" s="5"/>
      <c r="F34" s="5"/>
      <c r="G34" s="7"/>
      <c r="H34" s="9"/>
      <c r="I34" s="9"/>
      <c r="K34" s="5"/>
      <c r="L34" s="5"/>
      <c r="M34" s="5"/>
      <c r="N34" s="5"/>
      <c r="O34" s="6"/>
      <c r="P34" s="5"/>
      <c r="R34" s="5"/>
      <c r="S34" s="5"/>
      <c r="T34" s="5"/>
      <c r="U34" s="5"/>
      <c r="V34" s="7"/>
      <c r="W34" s="19">
        <f t="shared" si="5"/>
        <v>0</v>
      </c>
    </row>
    <row r="35" spans="4:23" ht="21" x14ac:dyDescent="0.25">
      <c r="D35" s="4"/>
      <c r="E35" s="4"/>
      <c r="F35" s="4"/>
      <c r="G35" s="8"/>
      <c r="H35" s="9"/>
      <c r="I35" s="9"/>
      <c r="K35" s="4"/>
      <c r="L35" s="4"/>
      <c r="M35" s="4"/>
      <c r="N35" s="4"/>
      <c r="O35" s="6"/>
      <c r="P35" s="4"/>
      <c r="R35" s="4"/>
      <c r="S35" s="4"/>
      <c r="T35" s="4"/>
      <c r="U35" s="4"/>
      <c r="V35" s="8"/>
      <c r="W35" s="19">
        <f t="shared" si="5"/>
        <v>0</v>
      </c>
    </row>
    <row r="36" spans="4:23" ht="21" x14ac:dyDescent="0.25">
      <c r="D36" s="4"/>
      <c r="E36" s="4"/>
      <c r="F36" s="4"/>
      <c r="G36" s="8"/>
      <c r="H36" s="9"/>
      <c r="I36" s="9"/>
      <c r="K36" s="4"/>
      <c r="L36" s="4"/>
      <c r="M36" s="4"/>
      <c r="N36" s="4"/>
      <c r="O36" s="6"/>
      <c r="P36" s="4"/>
      <c r="R36" s="4"/>
      <c r="S36" s="4"/>
      <c r="T36" s="4"/>
      <c r="U36" s="4"/>
      <c r="V36" s="8"/>
      <c r="W36" s="19">
        <f t="shared" si="5"/>
        <v>0</v>
      </c>
    </row>
    <row r="37" spans="4:23" ht="21" x14ac:dyDescent="0.25">
      <c r="D37" s="4"/>
      <c r="E37" s="4"/>
      <c r="F37" s="4"/>
      <c r="G37" s="8"/>
      <c r="H37" s="9"/>
      <c r="I37" s="9"/>
      <c r="K37" s="4"/>
      <c r="L37" s="4"/>
      <c r="M37" s="4"/>
      <c r="N37" s="4"/>
      <c r="O37" s="6"/>
      <c r="P37" s="4"/>
      <c r="R37" s="4"/>
      <c r="S37" s="4"/>
      <c r="T37" s="4"/>
      <c r="U37" s="4"/>
      <c r="V37" s="8"/>
      <c r="W37" s="19">
        <f t="shared" si="5"/>
        <v>0</v>
      </c>
    </row>
    <row r="38" spans="4:23" ht="21" x14ac:dyDescent="0.25">
      <c r="D38" s="4"/>
      <c r="E38" s="4"/>
      <c r="F38" s="4"/>
      <c r="G38" s="8"/>
      <c r="H38" s="9"/>
      <c r="I38" s="9"/>
      <c r="K38" s="4"/>
      <c r="L38" s="4"/>
      <c r="M38" s="4"/>
      <c r="N38" s="4"/>
      <c r="O38" s="6"/>
      <c r="P38" s="4"/>
      <c r="R38" s="4"/>
      <c r="S38" s="4"/>
      <c r="T38" s="4"/>
      <c r="U38" s="4"/>
      <c r="V38" s="8"/>
      <c r="W38" s="19">
        <f t="shared" si="5"/>
        <v>0</v>
      </c>
    </row>
    <row r="39" spans="4:23" ht="21" x14ac:dyDescent="0.25">
      <c r="D39" s="4"/>
      <c r="E39" s="4"/>
      <c r="F39" s="4"/>
      <c r="G39" s="8"/>
      <c r="H39" s="9"/>
      <c r="I39" s="9"/>
      <c r="K39" s="4"/>
      <c r="L39" s="4"/>
      <c r="M39" s="4"/>
      <c r="N39" s="4"/>
      <c r="O39" s="6"/>
      <c r="P39" s="4"/>
      <c r="R39" s="4"/>
      <c r="S39" s="4"/>
      <c r="T39" s="4"/>
      <c r="U39" s="4"/>
      <c r="V39" s="8"/>
      <c r="W39" s="19">
        <f t="shared" si="5"/>
        <v>0</v>
      </c>
    </row>
    <row r="40" spans="4:23" ht="21" x14ac:dyDescent="0.25">
      <c r="D40" s="4"/>
      <c r="E40" s="4"/>
      <c r="F40" s="4"/>
      <c r="G40" s="8"/>
      <c r="H40" s="9"/>
      <c r="I40" s="9"/>
      <c r="K40" s="4"/>
      <c r="L40" s="4"/>
      <c r="M40" s="4"/>
      <c r="N40" s="4"/>
      <c r="O40" s="6"/>
      <c r="P40" s="4"/>
      <c r="R40" s="4"/>
      <c r="S40" s="4"/>
      <c r="T40" s="4"/>
      <c r="U40" s="4"/>
      <c r="V40" s="8"/>
      <c r="W40" s="19">
        <f t="shared" si="5"/>
        <v>0</v>
      </c>
    </row>
    <row r="41" spans="4:23" ht="21" x14ac:dyDescent="0.25">
      <c r="D41" s="4"/>
      <c r="E41" s="4"/>
      <c r="F41" s="4"/>
      <c r="G41" s="8"/>
      <c r="H41" s="9"/>
      <c r="I41" s="9"/>
      <c r="K41" s="4"/>
      <c r="L41" s="4"/>
      <c r="M41" s="4"/>
      <c r="N41" s="4"/>
      <c r="O41" s="6"/>
      <c r="P41" s="4"/>
      <c r="R41" s="4"/>
      <c r="S41" s="4"/>
      <c r="T41" s="4"/>
      <c r="U41" s="4"/>
      <c r="V41" s="8"/>
      <c r="W41" s="19">
        <f t="shared" si="5"/>
        <v>0</v>
      </c>
    </row>
    <row r="42" spans="4:23" ht="21" x14ac:dyDescent="0.25">
      <c r="D42" s="4"/>
      <c r="E42" s="4"/>
      <c r="F42" s="4"/>
      <c r="G42" s="8"/>
      <c r="H42" s="9"/>
      <c r="I42" s="9"/>
      <c r="K42" s="4"/>
      <c r="L42" s="4"/>
      <c r="M42" s="4"/>
      <c r="N42" s="4"/>
      <c r="O42" s="6"/>
      <c r="P42" s="4"/>
      <c r="R42" s="4"/>
      <c r="S42" s="4"/>
      <c r="T42" s="4"/>
      <c r="U42" s="4"/>
      <c r="V42" s="8"/>
      <c r="W42" s="19">
        <f t="shared" si="5"/>
        <v>0</v>
      </c>
    </row>
  </sheetData>
  <mergeCells count="3">
    <mergeCell ref="D18:I18"/>
    <mergeCell ref="K18:P18"/>
    <mergeCell ref="R18:W18"/>
  </mergeCells>
  <conditionalFormatting sqref="V21:V33 W21:W42 V20:W20">
    <cfRule type="containsText" dxfId="3" priority="2" operator="containsText" text="ALERT!!">
      <formula>NOT(ISERROR(SEARCH("ALERT!!",V20)))</formula>
    </cfRule>
  </conditionalFormatting>
  <conditionalFormatting sqref="W19:W42">
    <cfRule type="cellIs" dxfId="2" priority="1" operator="lessThan">
      <formula>0</formula>
    </cfRule>
  </conditionalFormatting>
  <dataValidations count="1">
    <dataValidation type="list" allowBlank="1" showInputMessage="1" showErrorMessage="1" sqref="F20:F42 M20:M33">
      <formula1>$R$20:$R$33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I5:K19"/>
  <sheetViews>
    <sheetView showGridLines="0" workbookViewId="0"/>
  </sheetViews>
  <sheetFormatPr defaultRowHeight="15" x14ac:dyDescent="0.25"/>
  <cols>
    <col min="1" max="8" width="9.140625" style="2"/>
    <col min="9" max="9" width="11.42578125" style="2" customWidth="1"/>
    <col min="10" max="10" width="29.140625" style="2" customWidth="1"/>
    <col min="11" max="11" width="17.7109375" style="2" customWidth="1"/>
    <col min="12" max="12" width="20.85546875" style="2" customWidth="1"/>
    <col min="13" max="13" width="27.140625" style="2" customWidth="1"/>
    <col min="14" max="16384" width="9.140625" style="2"/>
  </cols>
  <sheetData>
    <row r="5" spans="9:11" ht="21" x14ac:dyDescent="0.25">
      <c r="I5" s="42" t="s">
        <v>64</v>
      </c>
      <c r="J5" s="42" t="s">
        <v>12</v>
      </c>
      <c r="K5" s="43" t="s">
        <v>30</v>
      </c>
    </row>
    <row r="6" spans="9:11" ht="20.25" customHeight="1" x14ac:dyDescent="0.25">
      <c r="I6" s="40">
        <v>1001</v>
      </c>
      <c r="J6" s="40" t="s">
        <v>15</v>
      </c>
      <c r="K6" s="41">
        <v>5</v>
      </c>
    </row>
    <row r="7" spans="9:11" ht="21" x14ac:dyDescent="0.25">
      <c r="I7" s="40">
        <v>1002</v>
      </c>
      <c r="J7" s="40" t="s">
        <v>16</v>
      </c>
      <c r="K7" s="41">
        <v>5</v>
      </c>
    </row>
    <row r="8" spans="9:11" ht="21" x14ac:dyDescent="0.25">
      <c r="I8" s="40">
        <v>1003</v>
      </c>
      <c r="J8" s="40" t="s">
        <v>29</v>
      </c>
      <c r="K8" s="41">
        <v>55</v>
      </c>
    </row>
    <row r="9" spans="9:11" ht="21" x14ac:dyDescent="0.25">
      <c r="I9" s="40">
        <v>1004</v>
      </c>
      <c r="J9" s="40" t="s">
        <v>17</v>
      </c>
      <c r="K9" s="41">
        <v>30</v>
      </c>
    </row>
    <row r="10" spans="9:11" ht="21" x14ac:dyDescent="0.25">
      <c r="I10" s="40">
        <v>1005</v>
      </c>
      <c r="J10" s="40" t="s">
        <v>36</v>
      </c>
      <c r="K10" s="41">
        <v>35</v>
      </c>
    </row>
    <row r="11" spans="9:11" ht="21" x14ac:dyDescent="0.25">
      <c r="I11" s="40">
        <v>1006</v>
      </c>
      <c r="J11" s="40" t="s">
        <v>19</v>
      </c>
      <c r="K11" s="41">
        <v>30</v>
      </c>
    </row>
    <row r="12" spans="9:11" ht="21" x14ac:dyDescent="0.25">
      <c r="I12" s="40">
        <v>1007</v>
      </c>
      <c r="J12" s="40" t="s">
        <v>37</v>
      </c>
      <c r="K12" s="41">
        <v>15</v>
      </c>
    </row>
    <row r="13" spans="9:11" ht="21" x14ac:dyDescent="0.25">
      <c r="I13" s="40">
        <v>1008</v>
      </c>
      <c r="J13" s="40" t="s">
        <v>38</v>
      </c>
      <c r="K13" s="41">
        <v>10</v>
      </c>
    </row>
    <row r="14" spans="9:11" ht="21" x14ac:dyDescent="0.25">
      <c r="I14" s="40">
        <v>1009</v>
      </c>
      <c r="J14" s="40" t="s">
        <v>39</v>
      </c>
      <c r="K14" s="41">
        <v>5</v>
      </c>
    </row>
    <row r="15" spans="9:11" ht="21" x14ac:dyDescent="0.25">
      <c r="I15" s="40">
        <v>1010</v>
      </c>
      <c r="J15" s="40" t="s">
        <v>40</v>
      </c>
      <c r="K15" s="41">
        <v>15</v>
      </c>
    </row>
    <row r="16" spans="9:11" ht="21" x14ac:dyDescent="0.25">
      <c r="I16" s="40">
        <v>1011</v>
      </c>
      <c r="J16" s="40" t="s">
        <v>41</v>
      </c>
      <c r="K16" s="41">
        <v>15</v>
      </c>
    </row>
    <row r="17" spans="9:11" ht="21" x14ac:dyDescent="0.25">
      <c r="I17" s="40">
        <v>1012</v>
      </c>
      <c r="J17" s="40" t="s">
        <v>42</v>
      </c>
      <c r="K17" s="41">
        <v>6</v>
      </c>
    </row>
    <row r="18" spans="9:11" ht="21" x14ac:dyDescent="0.25">
      <c r="I18" s="40">
        <v>1013</v>
      </c>
      <c r="J18" s="40" t="s">
        <v>26</v>
      </c>
      <c r="K18" s="41">
        <v>6</v>
      </c>
    </row>
    <row r="19" spans="9:11" ht="21" x14ac:dyDescent="0.25">
      <c r="I19" s="40">
        <v>1014</v>
      </c>
      <c r="J19" s="40" t="s">
        <v>43</v>
      </c>
      <c r="K19" s="41">
        <v>6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POS!$G$4</xm:f>
          </x14:formula1>
          <xm:sqref>J5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0"/>
  <sheetViews>
    <sheetView showGridLines="0" topLeftCell="D1" zoomScale="85" zoomScaleNormal="85" workbookViewId="0"/>
  </sheetViews>
  <sheetFormatPr defaultRowHeight="15" x14ac:dyDescent="0.25"/>
  <cols>
    <col min="1" max="1" width="7.140625" hidden="1" customWidth="1"/>
    <col min="2" max="2" width="8.42578125" hidden="1" customWidth="1"/>
    <col min="3" max="3" width="9.140625" hidden="1" customWidth="1"/>
    <col min="4" max="4" width="32.5703125" customWidth="1"/>
    <col min="5" max="5" width="23.42578125" customWidth="1"/>
    <col min="6" max="6" width="4.140625" customWidth="1"/>
    <col min="7" max="7" width="21.5703125" customWidth="1"/>
    <col min="10" max="10" width="18.28515625" customWidth="1"/>
    <col min="13" max="13" width="19.28515625" customWidth="1"/>
    <col min="17" max="17" width="11.5703125" customWidth="1"/>
    <col min="18" max="18" width="12.7109375" customWidth="1"/>
    <col min="19" max="19" width="17.28515625" customWidth="1"/>
    <col min="20" max="20" width="17.85546875" customWidth="1"/>
  </cols>
  <sheetData>
    <row r="1" spans="1:22" ht="113.25" customHeight="1" x14ac:dyDescent="0.9">
      <c r="A1" s="20"/>
      <c r="B1" s="20"/>
      <c r="C1" s="20"/>
      <c r="D1" s="94" t="s">
        <v>44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22"/>
      <c r="Q1" s="22"/>
      <c r="R1" s="22"/>
      <c r="S1" s="22"/>
      <c r="T1" s="22"/>
      <c r="U1" s="22"/>
      <c r="V1" s="22"/>
    </row>
    <row r="2" spans="1:22" ht="32.25" customHeight="1" x14ac:dyDescent="0.25">
      <c r="A2" s="20"/>
      <c r="B2" s="20"/>
      <c r="C2" s="20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</row>
    <row r="3" spans="1:22" ht="15.75" thickBot="1" x14ac:dyDescent="0.3">
      <c r="A3" s="20"/>
      <c r="B3" s="20"/>
      <c r="C3" s="20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</row>
    <row r="4" spans="1:22" ht="24.75" customHeight="1" thickTop="1" thickBot="1" x14ac:dyDescent="0.4">
      <c r="A4" s="86" t="s">
        <v>60</v>
      </c>
      <c r="B4" s="87"/>
      <c r="C4" s="33" t="b">
        <v>0</v>
      </c>
      <c r="D4" s="23"/>
      <c r="E4" s="31" t="s">
        <v>45</v>
      </c>
      <c r="F4" s="23"/>
      <c r="G4" s="84" t="s">
        <v>29</v>
      </c>
      <c r="H4" s="85"/>
      <c r="I4" s="24"/>
      <c r="J4" s="24"/>
      <c r="K4" s="88" t="s">
        <v>47</v>
      </c>
      <c r="L4" s="89"/>
      <c r="M4" s="34">
        <f>SUM(rcpt!I7:I17)</f>
        <v>900</v>
      </c>
      <c r="N4" s="21"/>
      <c r="O4" s="21"/>
      <c r="P4" s="21"/>
      <c r="Q4" s="21"/>
      <c r="R4" s="21"/>
      <c r="S4" s="21"/>
      <c r="T4" s="21"/>
      <c r="U4" s="21"/>
      <c r="V4" s="21"/>
    </row>
    <row r="5" spans="1:22" ht="24" customHeight="1" thickTop="1" x14ac:dyDescent="0.35">
      <c r="A5" s="86" t="s">
        <v>61</v>
      </c>
      <c r="B5" s="87"/>
      <c r="C5" s="33" t="str">
        <f ca="1">IFERROR(MATCH(G10,ITEM_ID,2),"")</f>
        <v/>
      </c>
      <c r="D5" s="23"/>
      <c r="E5" s="32"/>
      <c r="F5" s="23"/>
      <c r="G5" s="23"/>
      <c r="H5" s="23"/>
      <c r="I5" s="23"/>
      <c r="J5" s="24"/>
      <c r="K5" s="95" t="s">
        <v>48</v>
      </c>
      <c r="L5" s="96"/>
      <c r="M5" s="35">
        <v>50</v>
      </c>
      <c r="N5" s="21"/>
      <c r="O5" s="21"/>
      <c r="P5" s="21"/>
      <c r="Q5" s="21"/>
      <c r="R5" s="21"/>
      <c r="S5" s="21"/>
      <c r="T5" s="21"/>
      <c r="U5" s="27"/>
      <c r="V5" s="21"/>
    </row>
    <row r="6" spans="1:22" ht="23.25" customHeight="1" x14ac:dyDescent="0.35">
      <c r="A6" s="86" t="s">
        <v>62</v>
      </c>
      <c r="B6" s="87"/>
      <c r="C6" s="33">
        <v>15</v>
      </c>
      <c r="D6" s="23"/>
      <c r="E6" s="32" t="s">
        <v>52</v>
      </c>
      <c r="F6" s="23"/>
      <c r="G6" s="25">
        <v>30</v>
      </c>
      <c r="H6" s="23"/>
      <c r="I6" s="23"/>
      <c r="J6" s="24"/>
      <c r="K6" s="97" t="s">
        <v>49</v>
      </c>
      <c r="L6" s="98"/>
      <c r="M6" s="37">
        <f>SUM(M4,M5)</f>
        <v>950</v>
      </c>
      <c r="N6" s="21"/>
      <c r="O6" s="21"/>
      <c r="P6" s="21"/>
      <c r="Q6" s="21"/>
      <c r="R6" s="21"/>
      <c r="S6" s="21"/>
      <c r="T6" s="21"/>
      <c r="U6" s="27"/>
      <c r="V6" s="21"/>
    </row>
    <row r="7" spans="1:22" ht="24" x14ac:dyDescent="0.4">
      <c r="A7" s="86" t="s">
        <v>63</v>
      </c>
      <c r="B7" s="87"/>
      <c r="C7" s="33">
        <f ca="1">(IFERROR(MAX(RecNumb)*1,1000))</f>
        <v>14</v>
      </c>
      <c r="D7" s="23"/>
      <c r="E7" s="32"/>
      <c r="F7" s="23"/>
      <c r="G7" s="23"/>
      <c r="H7" s="23"/>
      <c r="I7" s="23"/>
      <c r="J7" s="24"/>
      <c r="K7" s="99" t="s">
        <v>50</v>
      </c>
      <c r="L7" s="100"/>
      <c r="M7" s="35">
        <v>6000</v>
      </c>
      <c r="N7" s="21"/>
      <c r="O7" s="21"/>
      <c r="P7" s="21"/>
      <c r="Q7" s="21"/>
      <c r="R7" s="21"/>
      <c r="S7" s="21"/>
      <c r="T7" s="21"/>
      <c r="U7" s="28"/>
      <c r="V7" s="21"/>
    </row>
    <row r="8" spans="1:22" ht="24" thickBot="1" x14ac:dyDescent="0.4">
      <c r="A8" s="20"/>
      <c r="B8" s="20"/>
      <c r="C8" s="20"/>
      <c r="D8" s="23"/>
      <c r="E8" s="32" t="s">
        <v>10</v>
      </c>
      <c r="F8" s="23"/>
      <c r="G8" s="25">
        <v>6</v>
      </c>
      <c r="H8" s="23"/>
      <c r="I8" s="23"/>
      <c r="J8" s="24"/>
      <c r="K8" s="91" t="s">
        <v>51</v>
      </c>
      <c r="L8" s="92"/>
      <c r="M8" s="36">
        <f>(M7-M6)</f>
        <v>5050</v>
      </c>
      <c r="N8" s="21"/>
      <c r="O8" s="21"/>
      <c r="P8" s="21"/>
      <c r="Q8" s="21"/>
      <c r="R8" s="21"/>
      <c r="S8" s="21"/>
      <c r="T8" s="21"/>
      <c r="U8" s="29"/>
      <c r="V8" s="21"/>
    </row>
    <row r="9" spans="1:22" ht="24" thickTop="1" x14ac:dyDescent="0.35">
      <c r="A9" s="20"/>
      <c r="B9" s="20"/>
      <c r="C9" s="20"/>
      <c r="D9" s="23"/>
      <c r="E9" s="32"/>
      <c r="F9" s="23"/>
      <c r="G9" s="23"/>
      <c r="H9" s="23"/>
      <c r="I9" s="23"/>
      <c r="J9" s="23"/>
      <c r="K9" s="23"/>
      <c r="L9" s="23"/>
      <c r="M9" s="23"/>
      <c r="N9" s="21"/>
      <c r="O9" s="21"/>
      <c r="P9" s="21"/>
      <c r="Q9" s="21"/>
      <c r="R9" s="21"/>
      <c r="S9" s="21"/>
      <c r="T9" s="21"/>
      <c r="U9" s="30"/>
      <c r="V9" s="21"/>
    </row>
    <row r="10" spans="1:22" ht="23.25" x14ac:dyDescent="0.35">
      <c r="A10" s="20"/>
      <c r="B10" s="20"/>
      <c r="C10" s="20"/>
      <c r="D10" s="23"/>
      <c r="E10" s="32" t="s">
        <v>53</v>
      </c>
      <c r="F10" s="23"/>
      <c r="G10" s="90"/>
      <c r="H10" s="90"/>
      <c r="I10" s="90"/>
      <c r="J10" s="23"/>
      <c r="K10" s="23"/>
      <c r="L10" s="23"/>
      <c r="M10" s="23"/>
      <c r="N10" s="21"/>
      <c r="O10" s="21"/>
      <c r="P10" s="21"/>
      <c r="Q10" s="21"/>
      <c r="R10" s="21"/>
      <c r="S10" s="21"/>
      <c r="T10" s="21"/>
      <c r="U10" s="30"/>
      <c r="V10" s="21"/>
    </row>
    <row r="11" spans="1:22" ht="23.25" x14ac:dyDescent="0.35">
      <c r="A11" s="20"/>
      <c r="B11" s="20"/>
      <c r="C11" s="20"/>
      <c r="D11" s="23"/>
      <c r="E11" s="23"/>
      <c r="F11" s="23"/>
      <c r="G11" s="23"/>
      <c r="H11" s="23"/>
      <c r="I11" s="23"/>
      <c r="J11" s="23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30"/>
      <c r="V11" s="21"/>
    </row>
    <row r="12" spans="1:22" x14ac:dyDescent="0.25">
      <c r="A12" s="20"/>
      <c r="B12" s="20"/>
      <c r="C12" s="20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</row>
    <row r="13" spans="1:22" x14ac:dyDescent="0.25">
      <c r="A13" s="20"/>
      <c r="B13" s="20"/>
      <c r="C13" s="20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</row>
    <row r="14" spans="1:22" x14ac:dyDescent="0.25">
      <c r="A14" s="20"/>
      <c r="B14" s="20"/>
      <c r="C14" s="2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</row>
    <row r="15" spans="1:22" x14ac:dyDescent="0.25">
      <c r="A15" s="20"/>
      <c r="B15" s="20"/>
      <c r="C15" s="2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</row>
    <row r="16" spans="1:22" x14ac:dyDescent="0.25">
      <c r="A16" s="20"/>
      <c r="B16" s="20"/>
      <c r="C16" s="20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</row>
    <row r="17" spans="1:23" x14ac:dyDescent="0.25">
      <c r="A17" s="20"/>
      <c r="B17" s="20"/>
      <c r="C17" s="20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</row>
    <row r="18" spans="1:23" x14ac:dyDescent="0.25">
      <c r="A18" s="20"/>
      <c r="B18" s="20"/>
      <c r="C18" s="2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6"/>
    </row>
    <row r="19" spans="1:23" x14ac:dyDescent="0.25">
      <c r="A19" s="20"/>
      <c r="B19" s="20"/>
      <c r="C19" s="2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6"/>
    </row>
    <row r="20" spans="1:23" ht="23.25" x14ac:dyDescent="0.35">
      <c r="A20" s="20"/>
      <c r="B20" s="20"/>
      <c r="C20" s="20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9"/>
    </row>
    <row r="21" spans="1:23" x14ac:dyDescent="0.25">
      <c r="A21" s="20"/>
      <c r="B21" s="20"/>
      <c r="C21" s="2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</row>
    <row r="22" spans="1:23" x14ac:dyDescent="0.25">
      <c r="A22" s="20"/>
      <c r="B22" s="20"/>
      <c r="C22" s="2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</row>
    <row r="23" spans="1:23" x14ac:dyDescent="0.25">
      <c r="A23" s="20"/>
      <c r="B23" s="20"/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</row>
    <row r="24" spans="1:23" x14ac:dyDescent="0.25">
      <c r="A24" s="20"/>
      <c r="B24" s="20"/>
      <c r="C24" s="2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</row>
    <row r="25" spans="1:23" x14ac:dyDescent="0.25">
      <c r="A25" s="20"/>
      <c r="B25" s="20"/>
      <c r="C25" s="2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</row>
    <row r="26" spans="1:23" x14ac:dyDescent="0.25">
      <c r="A26" s="20"/>
      <c r="B26" s="20"/>
      <c r="C26" s="2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</row>
    <row r="27" spans="1:23" x14ac:dyDescent="0.25"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</row>
    <row r="28" spans="1:23" x14ac:dyDescent="0.25"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</row>
    <row r="29" spans="1:23" x14ac:dyDescent="0.25"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</row>
    <row r="30" spans="1:23" x14ac:dyDescent="0.25"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</row>
    <row r="31" spans="1:23" x14ac:dyDescent="0.25"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</row>
    <row r="32" spans="1:23" x14ac:dyDescent="0.25"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</row>
    <row r="33" spans="4:22" x14ac:dyDescent="0.25"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</row>
    <row r="34" spans="4:22" ht="15" customHeight="1" x14ac:dyDescent="0.25"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</row>
    <row r="35" spans="4:22" ht="15" customHeight="1" x14ac:dyDescent="0.25"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</row>
    <row r="36" spans="4:22" x14ac:dyDescent="0.25"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</row>
    <row r="37" spans="4:22" x14ac:dyDescent="0.25"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</row>
    <row r="38" spans="4:22" x14ac:dyDescent="0.25"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</row>
    <row r="39" spans="4:22" x14ac:dyDescent="0.25"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</row>
    <row r="40" spans="4:22" x14ac:dyDescent="0.25">
      <c r="D40" s="21"/>
      <c r="E40" s="21"/>
      <c r="F40" s="21"/>
      <c r="G40" s="21"/>
      <c r="H40" s="21"/>
      <c r="I40" s="21"/>
      <c r="J40" s="21"/>
      <c r="N40" s="21"/>
      <c r="O40" s="21"/>
      <c r="P40" s="21"/>
      <c r="Q40" s="21"/>
      <c r="R40" s="21"/>
      <c r="S40" s="21"/>
      <c r="T40" s="21"/>
      <c r="U40" s="21"/>
      <c r="V40" s="21"/>
    </row>
  </sheetData>
  <mergeCells count="13">
    <mergeCell ref="K4:L4"/>
    <mergeCell ref="G10:I10"/>
    <mergeCell ref="K8:L8"/>
    <mergeCell ref="D2:V3"/>
    <mergeCell ref="D1:O1"/>
    <mergeCell ref="K5:L5"/>
    <mergeCell ref="K6:L6"/>
    <mergeCell ref="K7:L7"/>
    <mergeCell ref="G4:H4"/>
    <mergeCell ref="A4:B4"/>
    <mergeCell ref="A5:B5"/>
    <mergeCell ref="A6:B6"/>
    <mergeCell ref="A7:B7"/>
  </mergeCells>
  <conditionalFormatting sqref="W18:W19">
    <cfRule type="expression" dxfId="1" priority="3">
      <formula>$C$6=ROW()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'sales recipt'!$J$6:$J$19</xm:f>
          </x14:formula1>
          <xm:sqref>G4</xm:sqref>
        </x14:dataValidation>
        <x14:dataValidation type="list" allowBlank="1" showInputMessage="1" showErrorMessage="1">
          <x14:formula1>
            <xm:f>'sales recipt'!$K$6:$K$19</xm:f>
          </x14:formula1>
          <xm:sqref>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30"/>
  <sheetViews>
    <sheetView showGridLines="0" tabSelected="1" workbookViewId="0">
      <selection activeCell="F8" sqref="F8"/>
    </sheetView>
  </sheetViews>
  <sheetFormatPr defaultRowHeight="15" x14ac:dyDescent="0.25"/>
  <cols>
    <col min="1" max="5" width="9.140625" style="53"/>
    <col min="6" max="6" width="19.42578125" style="53" customWidth="1"/>
    <col min="7" max="9" width="9.140625" style="53"/>
    <col min="10" max="10" width="13" style="53" customWidth="1"/>
    <col min="11" max="11" width="14.5703125" style="53" customWidth="1"/>
    <col min="12" max="16384" width="9.140625" style="53"/>
  </cols>
  <sheetData>
    <row r="1" spans="1:23" ht="15" customHeight="1" x14ac:dyDescent="0.25">
      <c r="A1" s="55"/>
      <c r="B1" s="55"/>
      <c r="C1" s="55"/>
      <c r="D1" s="55"/>
      <c r="E1" s="55"/>
      <c r="F1" s="101" t="s">
        <v>76</v>
      </c>
      <c r="G1" s="101"/>
      <c r="H1" s="101"/>
      <c r="I1" s="101"/>
      <c r="J1" s="55"/>
      <c r="K1" s="55"/>
      <c r="L1" s="55"/>
      <c r="M1" s="55"/>
      <c r="N1" s="55"/>
      <c r="O1" s="55"/>
      <c r="P1" s="55"/>
      <c r="Q1" s="55"/>
      <c r="R1" s="55"/>
      <c r="S1" s="55"/>
    </row>
    <row r="2" spans="1:23" x14ac:dyDescent="0.25">
      <c r="A2" s="55"/>
      <c r="B2" s="55"/>
      <c r="C2" s="55"/>
      <c r="D2" s="55"/>
      <c r="E2" s="55"/>
      <c r="F2" s="101"/>
      <c r="G2" s="101"/>
      <c r="H2" s="101"/>
      <c r="I2" s="101"/>
      <c r="J2" s="55"/>
      <c r="K2" s="55"/>
      <c r="L2" s="55"/>
      <c r="M2" s="55"/>
      <c r="N2" s="55"/>
      <c r="O2" s="55"/>
      <c r="P2" s="55"/>
      <c r="Q2" s="55"/>
      <c r="R2" s="55"/>
      <c r="S2" s="55"/>
    </row>
    <row r="3" spans="1:23" x14ac:dyDescent="0.25">
      <c r="A3" s="55"/>
      <c r="B3" s="55"/>
      <c r="C3" s="55"/>
      <c r="D3" s="55"/>
      <c r="E3" s="55"/>
      <c r="F3" s="101"/>
      <c r="G3" s="101"/>
      <c r="H3" s="101"/>
      <c r="I3" s="101"/>
      <c r="J3" s="55"/>
      <c r="K3" s="55"/>
      <c r="L3" s="55"/>
      <c r="M3" s="55"/>
      <c r="N3" s="55"/>
      <c r="O3" s="55"/>
      <c r="P3" s="55"/>
      <c r="Q3" s="55"/>
      <c r="R3" s="55"/>
      <c r="S3" s="55"/>
    </row>
    <row r="4" spans="1:23" x14ac:dyDescent="0.25">
      <c r="A4" s="55"/>
      <c r="B4" s="55"/>
      <c r="C4" s="55"/>
      <c r="D4" s="55"/>
      <c r="E4" s="55"/>
      <c r="F4" s="101"/>
      <c r="G4" s="101"/>
      <c r="H4" s="101"/>
      <c r="I4" s="101"/>
      <c r="J4" s="55"/>
      <c r="K4" s="55"/>
      <c r="L4" s="55"/>
      <c r="M4" s="55"/>
      <c r="N4" s="55"/>
      <c r="O4" s="55"/>
      <c r="P4" s="55"/>
      <c r="Q4" s="55"/>
      <c r="R4" s="55"/>
      <c r="S4" s="55"/>
    </row>
    <row r="5" spans="1:23" x14ac:dyDescent="0.25">
      <c r="A5" s="55"/>
      <c r="B5" s="55"/>
      <c r="C5" s="55"/>
      <c r="D5" s="55"/>
      <c r="E5" s="55"/>
      <c r="F5" s="101"/>
      <c r="G5" s="101"/>
      <c r="H5" s="101"/>
      <c r="I5" s="101"/>
      <c r="J5" s="55"/>
      <c r="K5" s="55"/>
      <c r="L5" s="55"/>
      <c r="M5" s="55"/>
      <c r="N5" s="55"/>
      <c r="O5" s="55"/>
      <c r="P5" s="55"/>
      <c r="Q5" s="55"/>
      <c r="R5" s="55"/>
      <c r="S5" s="55"/>
    </row>
    <row r="6" spans="1:23" x14ac:dyDescent="0.25">
      <c r="A6" s="55"/>
      <c r="B6" s="55"/>
      <c r="C6" s="55"/>
      <c r="D6" s="55"/>
      <c r="E6" s="55"/>
      <c r="F6" s="56" t="s">
        <v>73</v>
      </c>
      <c r="G6" s="56" t="s">
        <v>74</v>
      </c>
      <c r="H6" s="56" t="s">
        <v>75</v>
      </c>
      <c r="I6" s="56" t="s">
        <v>69</v>
      </c>
      <c r="J6" s="55"/>
      <c r="K6" s="55"/>
      <c r="L6" s="55"/>
      <c r="M6" s="55"/>
      <c r="N6" s="55"/>
      <c r="O6" s="55"/>
      <c r="P6" s="55"/>
      <c r="Q6" s="55"/>
      <c r="R6" s="55"/>
      <c r="S6" s="55"/>
    </row>
    <row r="7" spans="1:23" x14ac:dyDescent="0.25">
      <c r="A7" s="55"/>
      <c r="B7" s="55"/>
      <c r="C7" s="55"/>
      <c r="D7" s="55"/>
      <c r="E7" s="55"/>
      <c r="F7" s="57" t="s">
        <v>17</v>
      </c>
      <c r="G7" s="57">
        <v>30</v>
      </c>
      <c r="H7" s="57">
        <v>30</v>
      </c>
      <c r="I7" s="57">
        <f>G7*H7</f>
        <v>900</v>
      </c>
      <c r="J7" s="55"/>
      <c r="K7" s="55"/>
      <c r="L7" s="55"/>
      <c r="M7" s="55"/>
      <c r="N7" s="55"/>
      <c r="O7" s="55"/>
      <c r="P7" s="55"/>
      <c r="Q7" s="55"/>
      <c r="R7" s="55"/>
      <c r="S7" s="55"/>
    </row>
    <row r="8" spans="1:23" x14ac:dyDescent="0.25">
      <c r="A8" s="55"/>
      <c r="B8" s="55"/>
      <c r="C8" s="55"/>
      <c r="D8" s="55"/>
      <c r="E8" s="55"/>
      <c r="F8" s="57"/>
      <c r="G8" s="57"/>
      <c r="H8" s="57"/>
      <c r="I8" s="57">
        <f t="shared" ref="I8" si="0">G8*H8</f>
        <v>0</v>
      </c>
      <c r="J8" s="55"/>
      <c r="K8" s="55"/>
      <c r="L8" s="55"/>
      <c r="M8" s="55"/>
      <c r="N8" s="55"/>
      <c r="O8" s="55"/>
      <c r="P8" s="55"/>
      <c r="Q8" s="55"/>
      <c r="R8" s="55"/>
      <c r="S8" s="55"/>
    </row>
    <row r="9" spans="1:23" x14ac:dyDescent="0.25">
      <c r="A9" s="55"/>
      <c r="B9" s="55"/>
      <c r="C9" s="55"/>
      <c r="D9" s="55"/>
      <c r="E9" s="55"/>
      <c r="F9" s="57"/>
      <c r="G9" s="57"/>
      <c r="H9" s="57"/>
      <c r="I9" s="57">
        <f t="shared" ref="I9:I17" si="1">G9*H9</f>
        <v>0</v>
      </c>
      <c r="J9" s="55"/>
      <c r="K9" s="55"/>
      <c r="L9" s="55"/>
      <c r="M9" s="55"/>
      <c r="N9" s="55"/>
      <c r="O9" s="55"/>
      <c r="P9" s="55"/>
      <c r="Q9" s="55"/>
      <c r="R9" s="55"/>
      <c r="S9" s="55"/>
    </row>
    <row r="10" spans="1:23" x14ac:dyDescent="0.25">
      <c r="A10" s="55"/>
      <c r="B10" s="55"/>
      <c r="C10" s="55"/>
      <c r="D10" s="55"/>
      <c r="E10" s="55"/>
      <c r="F10" s="57"/>
      <c r="G10" s="57"/>
      <c r="H10" s="57"/>
      <c r="I10" s="57">
        <f t="shared" si="1"/>
        <v>0</v>
      </c>
      <c r="J10" s="55"/>
      <c r="K10" s="55"/>
      <c r="L10" s="55"/>
      <c r="M10" s="55"/>
      <c r="N10" s="55"/>
      <c r="O10" s="55"/>
      <c r="P10" s="55"/>
      <c r="Q10" s="55"/>
      <c r="R10" s="55"/>
      <c r="S10" s="55"/>
    </row>
    <row r="11" spans="1:23" x14ac:dyDescent="0.25">
      <c r="A11" s="55"/>
      <c r="B11" s="55"/>
      <c r="C11" s="55"/>
      <c r="D11" s="55"/>
      <c r="E11" s="55"/>
      <c r="F11" s="57"/>
      <c r="G11" s="57"/>
      <c r="H11" s="57"/>
      <c r="I11" s="57">
        <f t="shared" si="1"/>
        <v>0</v>
      </c>
      <c r="J11" s="55"/>
      <c r="K11" s="55"/>
      <c r="L11" s="55"/>
      <c r="M11" s="55"/>
      <c r="N11" s="55"/>
      <c r="O11" s="55"/>
      <c r="P11" s="55"/>
      <c r="Q11" s="55"/>
      <c r="R11" s="55"/>
      <c r="S11" s="55"/>
    </row>
    <row r="12" spans="1:23" x14ac:dyDescent="0.25">
      <c r="A12" s="55"/>
      <c r="B12" s="55"/>
      <c r="C12" s="55"/>
      <c r="D12" s="55"/>
      <c r="E12" s="55"/>
      <c r="F12" s="57"/>
      <c r="G12" s="57"/>
      <c r="H12" s="57"/>
      <c r="I12" s="57">
        <f t="shared" si="1"/>
        <v>0</v>
      </c>
      <c r="J12" s="55"/>
      <c r="K12" s="55"/>
      <c r="L12" s="55"/>
      <c r="M12" s="55"/>
      <c r="N12" s="55"/>
      <c r="O12" s="55"/>
      <c r="P12" s="55"/>
      <c r="Q12" s="55"/>
      <c r="R12" s="55"/>
      <c r="S12" s="55"/>
    </row>
    <row r="13" spans="1:23" x14ac:dyDescent="0.25">
      <c r="A13" s="55"/>
      <c r="B13" s="55"/>
      <c r="C13" s="55"/>
      <c r="D13" s="55"/>
      <c r="E13" s="55"/>
      <c r="F13" s="57"/>
      <c r="G13" s="57"/>
      <c r="H13" s="57"/>
      <c r="I13" s="57">
        <f t="shared" si="1"/>
        <v>0</v>
      </c>
      <c r="J13" s="59" t="s">
        <v>56</v>
      </c>
      <c r="K13" s="60">
        <f>POS!M4</f>
        <v>900</v>
      </c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</row>
    <row r="14" spans="1:23" x14ac:dyDescent="0.25">
      <c r="A14" s="55"/>
      <c r="B14" s="55"/>
      <c r="C14" s="55"/>
      <c r="D14" s="55"/>
      <c r="E14" s="55"/>
      <c r="F14" s="57"/>
      <c r="G14" s="57"/>
      <c r="H14" s="57"/>
      <c r="I14" s="57">
        <f t="shared" si="1"/>
        <v>0</v>
      </c>
      <c r="J14" s="59" t="s">
        <v>48</v>
      </c>
      <c r="K14" s="60">
        <f>(POS!M5)</f>
        <v>50</v>
      </c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</row>
    <row r="15" spans="1:23" x14ac:dyDescent="0.25">
      <c r="A15" s="55"/>
      <c r="B15" s="55"/>
      <c r="C15" s="55"/>
      <c r="D15" s="55"/>
      <c r="E15" s="55"/>
      <c r="F15" s="57"/>
      <c r="G15" s="57"/>
      <c r="H15" s="57"/>
      <c r="I15" s="57">
        <f t="shared" si="1"/>
        <v>0</v>
      </c>
      <c r="J15" s="59" t="s">
        <v>57</v>
      </c>
      <c r="K15" s="60">
        <f>POS!M6</f>
        <v>950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</row>
    <row r="16" spans="1:23" x14ac:dyDescent="0.25">
      <c r="A16" s="55"/>
      <c r="B16" s="55"/>
      <c r="C16" s="55"/>
      <c r="D16" s="55"/>
      <c r="E16" s="55"/>
      <c r="F16" s="57"/>
      <c r="G16" s="57"/>
      <c r="H16" s="57"/>
      <c r="I16" s="57">
        <f t="shared" si="1"/>
        <v>0</v>
      </c>
      <c r="J16" s="59" t="s">
        <v>58</v>
      </c>
      <c r="K16" s="60">
        <v>6000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</row>
    <row r="17" spans="1:23" x14ac:dyDescent="0.25">
      <c r="A17" s="55"/>
      <c r="B17" s="55"/>
      <c r="C17" s="55"/>
      <c r="D17" s="55"/>
      <c r="E17" s="55"/>
      <c r="F17" s="58"/>
      <c r="G17" s="58"/>
      <c r="H17" s="58"/>
      <c r="I17" s="57">
        <f t="shared" si="1"/>
        <v>0</v>
      </c>
      <c r="J17" s="59" t="s">
        <v>59</v>
      </c>
      <c r="K17" s="60">
        <f>POS!M8</f>
        <v>5050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</row>
    <row r="18" spans="1:23" x14ac:dyDescent="0.25">
      <c r="A18" s="55"/>
      <c r="B18" s="55"/>
      <c r="C18" s="55"/>
      <c r="D18" s="55"/>
      <c r="E18" s="55"/>
      <c r="F18" s="102" t="s">
        <v>77</v>
      </c>
      <c r="G18" s="102"/>
      <c r="H18" s="102"/>
      <c r="I18" s="102"/>
      <c r="J18" s="102"/>
      <c r="K18" s="102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</row>
    <row r="19" spans="1:23" x14ac:dyDescent="0.25">
      <c r="A19" s="55"/>
      <c r="B19" s="55"/>
      <c r="C19" s="55"/>
      <c r="D19" s="55"/>
      <c r="E19" s="55"/>
      <c r="F19" s="102"/>
      <c r="G19" s="102"/>
      <c r="H19" s="102"/>
      <c r="I19" s="102"/>
      <c r="J19" s="102"/>
      <c r="K19" s="102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</row>
    <row r="20" spans="1:23" x14ac:dyDescent="0.25">
      <c r="A20" s="55"/>
      <c r="B20" s="55"/>
      <c r="C20" s="55"/>
      <c r="D20" s="55"/>
      <c r="E20" s="55"/>
      <c r="F20" s="102"/>
      <c r="G20" s="102"/>
      <c r="H20" s="102"/>
      <c r="I20" s="102"/>
      <c r="J20" s="102"/>
      <c r="K20" s="102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</row>
    <row r="21" spans="1:23" x14ac:dyDescent="0.25">
      <c r="A21" s="55"/>
      <c r="B21" s="55"/>
      <c r="C21" s="55"/>
      <c r="D21" s="55"/>
      <c r="E21" s="55"/>
      <c r="F21" s="102"/>
      <c r="G21" s="102"/>
      <c r="H21" s="102"/>
      <c r="I21" s="102"/>
      <c r="J21" s="102"/>
      <c r="K21" s="102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</row>
    <row r="22" spans="1:23" x14ac:dyDescent="0.25">
      <c r="A22" s="55"/>
      <c r="B22" s="55"/>
      <c r="C22" s="55"/>
      <c r="D22" s="55"/>
      <c r="E22" s="55"/>
      <c r="F22" s="54"/>
      <c r="G22" s="54"/>
      <c r="H22" s="54"/>
      <c r="I22" s="54"/>
      <c r="J22" s="54"/>
      <c r="K22" s="54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</row>
    <row r="23" spans="1:23" x14ac:dyDescent="0.25">
      <c r="A23" s="55"/>
      <c r="B23" s="55"/>
      <c r="C23" s="55"/>
      <c r="D23" s="55"/>
      <c r="E23" s="55"/>
      <c r="F23" s="54"/>
      <c r="G23" s="54"/>
      <c r="H23" s="54"/>
      <c r="I23" s="54"/>
      <c r="J23" s="54"/>
      <c r="K23" s="54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</row>
    <row r="24" spans="1:23" x14ac:dyDescent="0.25">
      <c r="A24" s="55"/>
      <c r="B24" s="55"/>
      <c r="C24" s="55"/>
      <c r="D24" s="55"/>
      <c r="E24" s="55"/>
      <c r="F24" s="54"/>
      <c r="G24" s="54"/>
      <c r="H24" s="54"/>
      <c r="I24" s="54"/>
      <c r="J24" s="54"/>
      <c r="K24" s="54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</row>
    <row r="25" spans="1:23" x14ac:dyDescent="0.25">
      <c r="A25" s="55"/>
      <c r="B25" s="55"/>
      <c r="C25" s="55"/>
      <c r="D25" s="55"/>
      <c r="E25" s="55"/>
      <c r="F25" s="54"/>
      <c r="G25" s="54"/>
      <c r="H25" s="54"/>
      <c r="I25" s="54"/>
      <c r="J25" s="54"/>
      <c r="K25" s="54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</row>
    <row r="26" spans="1:23" x14ac:dyDescent="0.25">
      <c r="A26" s="55"/>
      <c r="B26" s="55"/>
      <c r="C26" s="55"/>
      <c r="D26" s="55"/>
      <c r="E26" s="55"/>
      <c r="F26" s="54"/>
      <c r="G26" s="54"/>
      <c r="H26" s="54"/>
      <c r="I26" s="54"/>
      <c r="J26" s="54"/>
      <c r="K26" s="54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</row>
    <row r="27" spans="1:23" x14ac:dyDescent="0.25">
      <c r="A27" s="55"/>
      <c r="B27" s="55"/>
      <c r="C27" s="55"/>
      <c r="D27" s="55"/>
      <c r="E27" s="55"/>
      <c r="F27" s="54"/>
      <c r="G27" s="54"/>
      <c r="H27" s="54"/>
      <c r="I27" s="54"/>
      <c r="J27" s="54"/>
      <c r="K27" s="54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</row>
    <row r="28" spans="1:23" x14ac:dyDescent="0.25">
      <c r="A28" s="55"/>
      <c r="B28" s="55"/>
      <c r="C28" s="55"/>
      <c r="D28" s="55"/>
      <c r="E28" s="55"/>
      <c r="F28" s="54"/>
      <c r="G28" s="54"/>
      <c r="H28" s="54"/>
      <c r="I28" s="54"/>
      <c r="J28" s="54"/>
      <c r="K28" s="54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</row>
    <row r="29" spans="1:23" x14ac:dyDescent="0.25">
      <c r="F29" s="54"/>
      <c r="G29" s="54"/>
      <c r="H29" s="54"/>
      <c r="I29" s="54"/>
      <c r="J29" s="54"/>
      <c r="K29" s="54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</row>
    <row r="30" spans="1:23" x14ac:dyDescent="0.25">
      <c r="F30" s="54"/>
      <c r="G30" s="54"/>
      <c r="H30" s="54"/>
      <c r="I30" s="54"/>
      <c r="J30" s="54"/>
      <c r="K30" s="54"/>
    </row>
  </sheetData>
  <mergeCells count="2">
    <mergeCell ref="F1:I5"/>
    <mergeCell ref="F18:K21"/>
  </mergeCells>
  <conditionalFormatting sqref="J13:J17">
    <cfRule type="expression" dxfId="0" priority="1">
      <formula>$H$6=ROW()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CUSTOMER</vt:lpstr>
      <vt:lpstr>STOCK</vt:lpstr>
      <vt:lpstr>sales recipt</vt:lpstr>
      <vt:lpstr>POS</vt:lpstr>
      <vt:lpstr>rcpt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ismail - [2010]</cp:lastModifiedBy>
  <dcterms:created xsi:type="dcterms:W3CDTF">2020-12-15T14:19:35Z</dcterms:created>
  <dcterms:modified xsi:type="dcterms:W3CDTF">2021-01-03T10:51:20Z</dcterms:modified>
</cp:coreProperties>
</file>